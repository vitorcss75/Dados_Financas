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"/>
    </mc:Choice>
  </mc:AlternateContent>
  <xr:revisionPtr revIDLastSave="0" documentId="13_ncr:1_{E979A9C8-7E9B-407B-9B61-34FA0618C9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RLANDA" sheetId="1" r:id="rId1"/>
    <sheet name="Planilh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3" i="1" l="1"/>
  <c r="I61" i="1"/>
  <c r="I60" i="1"/>
  <c r="I59" i="1"/>
  <c r="I58" i="1"/>
  <c r="I57" i="1"/>
  <c r="I56" i="1"/>
  <c r="I55" i="1"/>
  <c r="I54" i="1"/>
  <c r="I53" i="1"/>
  <c r="I52" i="1"/>
  <c r="C12" i="1"/>
  <c r="C4" i="1"/>
  <c r="C5" i="1"/>
  <c r="C6" i="1"/>
  <c r="C7" i="1"/>
  <c r="C8" i="1"/>
  <c r="C9" i="1"/>
  <c r="C10" i="1"/>
  <c r="C11" i="1"/>
  <c r="C3" i="1"/>
  <c r="N39" i="1"/>
  <c r="O39" i="1" s="1"/>
  <c r="N35" i="1"/>
  <c r="O35" i="1" s="1"/>
  <c r="N31" i="1"/>
  <c r="O31" i="1" s="1"/>
  <c r="N27" i="1"/>
  <c r="O27" i="1" s="1"/>
  <c r="N23" i="1"/>
  <c r="O23" i="1" s="1"/>
  <c r="N19" i="1"/>
  <c r="O19" i="1" s="1"/>
  <c r="N15" i="1"/>
  <c r="O15" i="1" s="1"/>
  <c r="N11" i="1"/>
  <c r="O11" i="1" s="1"/>
  <c r="N7" i="1"/>
  <c r="O7" i="1" s="1"/>
  <c r="N3" i="1"/>
  <c r="O3" i="1" s="1"/>
  <c r="H11" i="1"/>
  <c r="I11" i="1" s="1"/>
  <c r="H39" i="1"/>
  <c r="I39" i="1" s="1"/>
  <c r="H35" i="1"/>
  <c r="I35" i="1" s="1"/>
  <c r="H31" i="1"/>
  <c r="I31" i="1" s="1"/>
  <c r="H27" i="1"/>
  <c r="I27" i="1" s="1"/>
  <c r="H23" i="1"/>
  <c r="I23" i="1" s="1"/>
  <c r="H19" i="1"/>
  <c r="I19" i="1" s="1"/>
  <c r="H15" i="1"/>
  <c r="I15" i="1" s="1"/>
  <c r="H7" i="1"/>
  <c r="I7" i="1" s="1"/>
  <c r="H3" i="1"/>
  <c r="I3" i="1" s="1"/>
</calcChain>
</file>

<file path=xl/sharedStrings.xml><?xml version="1.0" encoding="utf-8"?>
<sst xmlns="http://schemas.openxmlformats.org/spreadsheetml/2006/main" count="169" uniqueCount="71">
  <si>
    <t>ano</t>
  </si>
  <si>
    <t>PIB</t>
  </si>
  <si>
    <t>Receita do Governo Geral</t>
  </si>
  <si>
    <t>1º bimestre</t>
  </si>
  <si>
    <t>2º bimestre</t>
  </si>
  <si>
    <t>3º bimestre</t>
  </si>
  <si>
    <t>4º bimestre</t>
  </si>
  <si>
    <t>Ano</t>
  </si>
  <si>
    <t>Bimestre</t>
  </si>
  <si>
    <t>Valor (Em milhoes de Euros)</t>
  </si>
  <si>
    <t>Valor (Em Bilhoes de Euros)</t>
  </si>
  <si>
    <t>Despesas do Governo Geral</t>
  </si>
  <si>
    <t>Total Anual (Em milhões de Euros)</t>
  </si>
  <si>
    <t>Cálculo (Índice 2025 / Índice do Ano)</t>
  </si>
  <si>
    <t>Fator de Correção (Multiplicador)</t>
  </si>
  <si>
    <t>124,6 \ 100,3</t>
  </si>
  <si>
    <t>124,6 \ 100,7</t>
  </si>
  <si>
    <t>124,6 \ 101,2</t>
  </si>
  <si>
    <t>124,6 \ 102,1</t>
  </si>
  <si>
    <t>124,6 \ 101,8</t>
  </si>
  <si>
    <t>124,6 \ 104,2</t>
  </si>
  <si>
    <t>124,6 \ 112,3</t>
  </si>
  <si>
    <t>124,6 \ 119,4</t>
  </si>
  <si>
    <t>124,6 \ 121,9</t>
  </si>
  <si>
    <t>124,6 \ 124,6</t>
  </si>
  <si>
    <t>Valor Real (Em Bilhões de Euros)</t>
  </si>
  <si>
    <t>Total Anual REAL (Em bilhões de Euros)</t>
  </si>
  <si>
    <t>Despesa Real (em €B)</t>
  </si>
  <si>
    <t>Receita Real (em €B)</t>
  </si>
  <si>
    <t>Resultado Fiscal Real (em €B)</t>
  </si>
  <si>
    <t>PIB Real (em €Bilhão)</t>
  </si>
  <si>
    <t>Correlação</t>
  </si>
  <si>
    <t>Valor (Em bilhões de Euros)</t>
  </si>
  <si>
    <t>Receitas (Em bilhões)</t>
  </si>
  <si>
    <t>Despesas (Em bilhões)</t>
  </si>
  <si>
    <t>Resultado Fiscal Real</t>
  </si>
  <si>
    <t>Saldo (% do PIB)</t>
  </si>
  <si>
    <t>Valor Real (Em Bi de Euros)</t>
  </si>
  <si>
    <t>Carga tributária da Irlanda — % do PIB</t>
  </si>
  <si>
    <t>Situação</t>
  </si>
  <si>
    <t>Consolidado OCDE</t>
  </si>
  <si>
    <t>Valor revisado pela OCDE</t>
  </si>
  <si>
    <t>Dado mais recente da OCDE</t>
  </si>
  <si>
    <t>Sem dado consolidado</t>
  </si>
  <si>
    <t>Ainda não disponível no padrão OCDE</t>
  </si>
  <si>
    <t>Irlanda - Carga fiscal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</si>
  <si>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</si>
  <si>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</si>
  <si>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</si>
  <si>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</si>
  <si>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</si>
  <si>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</si>
  <si>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</si>
  <si>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</si>
  <si>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</si>
  <si>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</si>
  <si>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</si>
  <si>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</si>
  <si>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</si>
  <si>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</si>
  <si>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</si>
  <si>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</si>
  <si>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</si>
  <si>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</si>
  <si>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</si>
  <si>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</si>
  <si>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</si>
  <si>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</si>
  <si>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</si>
  <si>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</si>
  <si>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Variável 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</si>
</sst>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1"/>
      <color rgb="FFFFFFFF"/>
      <name val="Arial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/>
    <xf numFmtId="164" fontId="0" fillId="0" borderId="0" xfId="0" applyNumberFormat="1"/>
    <xf numFmtId="164" fontId="0" fillId="2" borderId="1" xfId="0" applyNumberFormat="1" applyFill="1" applyBorder="1" applyAlignment="1"/>
    <xf numFmtId="0" fontId="0" fillId="3" borderId="1" xfId="0" applyFill="1" applyBorder="1" applyAlignment="1"/>
    <xf numFmtId="164" fontId="0" fillId="0" borderId="1" xfId="1" applyNumberFormat="1" applyFont="1" applyBorder="1"/>
    <xf numFmtId="0" fontId="3" fillId="0" borderId="0" xfId="0" applyFont="1" applyBorder="1" applyAlignment="1">
      <alignment vertical="center" wrapText="1" readingOrder="1"/>
    </xf>
    <xf numFmtId="0" fontId="0" fillId="0" borderId="5" xfId="0" applyBorder="1" applyAlignment="1"/>
    <xf numFmtId="0" fontId="3" fillId="0" borderId="6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vertical="center" wrapText="1" readingOrder="1"/>
    </xf>
    <xf numFmtId="0" fontId="4" fillId="0" borderId="6" xfId="0" applyFont="1" applyBorder="1" applyAlignment="1">
      <alignment horizontal="left" vertical="center" wrapText="1" indent="1" readingOrder="1"/>
    </xf>
    <xf numFmtId="0" fontId="4" fillId="0" borderId="6" xfId="0" applyFont="1" applyBorder="1" applyAlignment="1">
      <alignment vertical="center" wrapText="1" readingOrder="1"/>
    </xf>
    <xf numFmtId="164" fontId="0" fillId="0" borderId="1" xfId="0" applyNumberFormat="1" applyBorder="1"/>
    <xf numFmtId="10" fontId="0" fillId="0" borderId="1" xfId="2" applyNumberFormat="1" applyFont="1" applyBorder="1"/>
    <xf numFmtId="0" fontId="0" fillId="4" borderId="1" xfId="0" applyFill="1" applyBorder="1" applyAlignment="1"/>
    <xf numFmtId="10" fontId="0" fillId="0" borderId="1" xfId="2" applyNumberFormat="1" applyFont="1" applyBorder="1" applyAlignment="1"/>
    <xf numFmtId="10" fontId="0" fillId="4" borderId="1" xfId="2" applyNumberFormat="1" applyFont="1" applyFill="1" applyBorder="1" applyAlignment="1"/>
    <xf numFmtId="0" fontId="5" fillId="0" borderId="0" xfId="0" applyFont="1" applyAlignment="1">
      <alignment horizontal="center" vertical="center" wrapText="1"/>
    </xf>
    <xf numFmtId="0" fontId="0" fillId="0" borderId="0" xfId="0" applyFill="1" applyBorder="1" applyAlignment="1"/>
    <xf numFmtId="0" fontId="0" fillId="0" borderId="9" xfId="0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Continuous"/>
    </xf>
    <xf numFmtId="165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O63"/>
  <sheetViews>
    <sheetView tabSelected="1" zoomScale="90" zoomScaleNormal="90" workbookViewId="0">
      <selection activeCell="F63" sqref="F63"/>
    </sheetView>
  </sheetViews>
  <sheetFormatPr defaultRowHeight="15" x14ac:dyDescent="0.25"/>
  <cols>
    <col min="1" max="1" width="5.5703125" bestFit="1" customWidth="1"/>
    <col min="2" max="2" width="36" bestFit="1" customWidth="1"/>
    <col min="3" max="3" width="31.28515625" bestFit="1" customWidth="1"/>
    <col min="4" max="4" width="5.5703125" bestFit="1" customWidth="1"/>
    <col min="5" max="5" width="24.5703125" customWidth="1"/>
    <col min="6" max="6" width="20.28515625" bestFit="1" customWidth="1"/>
    <col min="7" max="7" width="20.42578125" style="5" customWidth="1"/>
    <col min="8" max="8" width="15.140625" customWidth="1"/>
    <col min="9" max="9" width="16.5703125" customWidth="1"/>
    <col min="10" max="10" width="21.140625" bestFit="1" customWidth="1"/>
    <col min="11" max="11" width="5.5703125" bestFit="1" customWidth="1"/>
    <col min="12" max="12" width="11.28515625" bestFit="1" customWidth="1"/>
    <col min="13" max="13" width="26.42578125" bestFit="1" customWidth="1"/>
    <col min="14" max="14" width="31.85546875" bestFit="1" customWidth="1"/>
    <col min="15" max="15" width="36.140625" bestFit="1" customWidth="1"/>
  </cols>
  <sheetData>
    <row r="1" spans="1:15" x14ac:dyDescent="0.25">
      <c r="A1" s="28" t="s">
        <v>1</v>
      </c>
      <c r="B1" s="29"/>
      <c r="C1" s="29"/>
      <c r="E1" s="28" t="s">
        <v>2</v>
      </c>
      <c r="F1" s="29"/>
      <c r="G1" s="29"/>
      <c r="H1" s="29"/>
      <c r="I1" s="29"/>
      <c r="K1" s="26" t="s">
        <v>11</v>
      </c>
      <c r="L1" s="27"/>
      <c r="M1" s="27"/>
      <c r="N1" s="27"/>
      <c r="O1" s="27"/>
    </row>
    <row r="2" spans="1:15" x14ac:dyDescent="0.25">
      <c r="A2" s="10" t="s">
        <v>0</v>
      </c>
      <c r="B2" s="10" t="s">
        <v>10</v>
      </c>
      <c r="C2" t="s">
        <v>25</v>
      </c>
      <c r="E2" s="3" t="s">
        <v>7</v>
      </c>
      <c r="F2" s="4" t="s">
        <v>8</v>
      </c>
      <c r="G2" s="6" t="s">
        <v>32</v>
      </c>
      <c r="H2" s="4" t="s">
        <v>12</v>
      </c>
      <c r="I2" s="4" t="s">
        <v>26</v>
      </c>
      <c r="K2" s="3" t="s">
        <v>7</v>
      </c>
      <c r="L2" s="4" t="s">
        <v>8</v>
      </c>
      <c r="M2" s="4" t="s">
        <v>9</v>
      </c>
      <c r="N2" s="4" t="s">
        <v>12</v>
      </c>
      <c r="O2" s="4" t="s">
        <v>26</v>
      </c>
    </row>
    <row r="3" spans="1:15" x14ac:dyDescent="0.25">
      <c r="A3" s="1">
        <v>2016</v>
      </c>
      <c r="B3" s="1">
        <v>305.73</v>
      </c>
      <c r="C3" s="2">
        <f>B3*C16</f>
        <v>379.71666000000005</v>
      </c>
      <c r="E3" s="31">
        <v>2016</v>
      </c>
      <c r="F3" s="2" t="s">
        <v>3</v>
      </c>
      <c r="G3" s="8">
        <v>16.399999999999999</v>
      </c>
      <c r="H3" s="30">
        <f>SUM(G3:G6)</f>
        <v>73.7</v>
      </c>
      <c r="I3" s="25">
        <f>H3*C16</f>
        <v>91.53540000000001</v>
      </c>
      <c r="K3" s="31">
        <v>2016</v>
      </c>
      <c r="L3" s="2" t="s">
        <v>3</v>
      </c>
      <c r="M3" s="2">
        <v>18.2</v>
      </c>
      <c r="N3" s="30">
        <f>SUM(M3:M6)</f>
        <v>75.8</v>
      </c>
      <c r="O3" s="25">
        <f>N3*C16</f>
        <v>94.143599999999992</v>
      </c>
    </row>
    <row r="4" spans="1:15" x14ac:dyDescent="0.25">
      <c r="A4" s="1">
        <v>2017</v>
      </c>
      <c r="B4" s="1">
        <v>348.53</v>
      </c>
      <c r="C4" s="2">
        <f t="shared" ref="C4:C11" si="0">B4*C17</f>
        <v>431.13161000000002</v>
      </c>
      <c r="E4" s="31"/>
      <c r="F4" s="2" t="s">
        <v>4</v>
      </c>
      <c r="G4" s="8">
        <v>18.399999999999999</v>
      </c>
      <c r="H4" s="30"/>
      <c r="I4" s="25"/>
      <c r="K4" s="31"/>
      <c r="L4" s="2" t="s">
        <v>4</v>
      </c>
      <c r="M4" s="2">
        <v>18.2</v>
      </c>
      <c r="N4" s="30"/>
      <c r="O4" s="25"/>
    </row>
    <row r="5" spans="1:15" x14ac:dyDescent="0.25">
      <c r="A5" s="1">
        <v>2018</v>
      </c>
      <c r="B5" s="1">
        <v>395.46</v>
      </c>
      <c r="C5" s="2">
        <f t="shared" si="0"/>
        <v>486.81126</v>
      </c>
      <c r="E5" s="31"/>
      <c r="F5" s="2" t="s">
        <v>5</v>
      </c>
      <c r="G5" s="8">
        <v>17.2</v>
      </c>
      <c r="H5" s="30"/>
      <c r="I5" s="25"/>
      <c r="K5" s="31"/>
      <c r="L5" s="2" t="s">
        <v>5</v>
      </c>
      <c r="M5" s="2">
        <v>18.899999999999999</v>
      </c>
      <c r="N5" s="30"/>
      <c r="O5" s="25"/>
    </row>
    <row r="6" spans="1:15" x14ac:dyDescent="0.25">
      <c r="A6" s="1">
        <v>2019</v>
      </c>
      <c r="B6" s="1">
        <v>407.12</v>
      </c>
      <c r="C6" s="2">
        <f t="shared" si="0"/>
        <v>496.68639999999999</v>
      </c>
      <c r="E6" s="31"/>
      <c r="F6" s="2" t="s">
        <v>6</v>
      </c>
      <c r="G6" s="8">
        <v>21.7</v>
      </c>
      <c r="H6" s="30"/>
      <c r="I6" s="25"/>
      <c r="K6" s="31"/>
      <c r="L6" s="2" t="s">
        <v>6</v>
      </c>
      <c r="M6" s="2">
        <v>20.5</v>
      </c>
      <c r="N6" s="30"/>
      <c r="O6" s="25"/>
    </row>
    <row r="7" spans="1:15" x14ac:dyDescent="0.25">
      <c r="A7" s="1">
        <v>2020</v>
      </c>
      <c r="B7" s="1">
        <v>436.55</v>
      </c>
      <c r="C7" s="2">
        <f t="shared" si="0"/>
        <v>533.90065000000004</v>
      </c>
      <c r="E7" s="31">
        <v>2017</v>
      </c>
      <c r="F7" s="2" t="s">
        <v>3</v>
      </c>
      <c r="G7" s="8">
        <v>17.399999999999999</v>
      </c>
      <c r="H7" s="30">
        <f>SUM(G7:G10)</f>
        <v>77</v>
      </c>
      <c r="I7" s="32">
        <f>H7*C17</f>
        <v>95.249000000000009</v>
      </c>
      <c r="K7" s="31">
        <v>2017</v>
      </c>
      <c r="L7" s="2" t="s">
        <v>3</v>
      </c>
      <c r="M7" s="2">
        <v>18.5</v>
      </c>
      <c r="N7" s="30">
        <f>SUM(M7:M10)</f>
        <v>77.899999999999991</v>
      </c>
      <c r="O7" s="25">
        <f>N7*C17</f>
        <v>96.362299999999991</v>
      </c>
    </row>
    <row r="8" spans="1:15" x14ac:dyDescent="0.25">
      <c r="A8" s="1">
        <v>2021</v>
      </c>
      <c r="B8" s="1">
        <v>531.29999999999995</v>
      </c>
      <c r="C8" s="2">
        <f t="shared" si="0"/>
        <v>634.90350000000001</v>
      </c>
      <c r="E8" s="31"/>
      <c r="F8" s="2" t="s">
        <v>4</v>
      </c>
      <c r="G8" s="8">
        <v>18.8</v>
      </c>
      <c r="H8" s="30"/>
      <c r="I8" s="33"/>
      <c r="K8" s="31"/>
      <c r="L8" s="2" t="s">
        <v>4</v>
      </c>
      <c r="M8" s="2">
        <v>18.899999999999999</v>
      </c>
      <c r="N8" s="30"/>
      <c r="O8" s="25"/>
    </row>
    <row r="9" spans="1:15" x14ac:dyDescent="0.25">
      <c r="A9" s="1">
        <v>2022</v>
      </c>
      <c r="B9" s="1">
        <v>548.57000000000005</v>
      </c>
      <c r="C9" s="2">
        <f t="shared" si="0"/>
        <v>608.36413000000005</v>
      </c>
      <c r="E9" s="31"/>
      <c r="F9" s="2" t="s">
        <v>5</v>
      </c>
      <c r="G9" s="8">
        <v>17.8</v>
      </c>
      <c r="H9" s="30"/>
      <c r="I9" s="33"/>
      <c r="K9" s="31"/>
      <c r="L9" s="2" t="s">
        <v>5</v>
      </c>
      <c r="M9" s="2">
        <v>19.7</v>
      </c>
      <c r="N9" s="30"/>
      <c r="O9" s="25"/>
    </row>
    <row r="10" spans="1:15" x14ac:dyDescent="0.25">
      <c r="A10" s="1">
        <v>2023</v>
      </c>
      <c r="B10" s="1">
        <v>551.39</v>
      </c>
      <c r="C10" s="2">
        <f t="shared" si="0"/>
        <v>575.09976999999992</v>
      </c>
      <c r="E10" s="31"/>
      <c r="F10" s="2" t="s">
        <v>6</v>
      </c>
      <c r="G10" s="8">
        <v>23</v>
      </c>
      <c r="H10" s="30"/>
      <c r="I10" s="34"/>
      <c r="K10" s="31"/>
      <c r="L10" s="2" t="s">
        <v>6</v>
      </c>
      <c r="M10" s="2">
        <v>20.8</v>
      </c>
      <c r="N10" s="30"/>
      <c r="O10" s="25"/>
    </row>
    <row r="11" spans="1:15" x14ac:dyDescent="0.25">
      <c r="A11" s="1">
        <v>2024</v>
      </c>
      <c r="B11" s="1">
        <v>577.39</v>
      </c>
      <c r="C11" s="2">
        <f t="shared" si="0"/>
        <v>590.09258</v>
      </c>
      <c r="E11" s="31">
        <v>2018</v>
      </c>
      <c r="F11" s="2" t="s">
        <v>3</v>
      </c>
      <c r="G11" s="8">
        <v>17.899999999999999</v>
      </c>
      <c r="H11" s="30">
        <f>SUM(G11:G14)</f>
        <v>83.2</v>
      </c>
      <c r="I11" s="32">
        <f>H11*C18</f>
        <v>102.41920000000002</v>
      </c>
      <c r="K11" s="31">
        <v>2018</v>
      </c>
      <c r="L11" s="2" t="s">
        <v>3</v>
      </c>
      <c r="M11" s="2">
        <v>19.600000000000001</v>
      </c>
      <c r="N11" s="30">
        <f>SUM(M11:M14)</f>
        <v>82.9</v>
      </c>
      <c r="O11" s="25">
        <f>N11*C18</f>
        <v>102.04990000000001</v>
      </c>
    </row>
    <row r="12" spans="1:15" x14ac:dyDescent="0.25">
      <c r="A12" s="1">
        <v>2025</v>
      </c>
      <c r="B12" s="1">
        <v>586.63</v>
      </c>
      <c r="C12" s="2">
        <f>B12*C25</f>
        <v>586.63</v>
      </c>
      <c r="E12" s="31"/>
      <c r="F12" s="2" t="s">
        <v>4</v>
      </c>
      <c r="G12" s="8">
        <v>20.3</v>
      </c>
      <c r="H12" s="30"/>
      <c r="I12" s="33"/>
      <c r="K12" s="31"/>
      <c r="L12" s="2" t="s">
        <v>4</v>
      </c>
      <c r="M12" s="2">
        <v>20.5</v>
      </c>
      <c r="N12" s="30"/>
      <c r="O12" s="25"/>
    </row>
    <row r="13" spans="1:15" x14ac:dyDescent="0.25">
      <c r="E13" s="31"/>
      <c r="F13" s="2" t="s">
        <v>5</v>
      </c>
      <c r="G13" s="8">
        <v>18.899999999999999</v>
      </c>
      <c r="H13" s="30"/>
      <c r="I13" s="33"/>
      <c r="K13" s="31"/>
      <c r="L13" s="2" t="s">
        <v>5</v>
      </c>
      <c r="M13" s="2">
        <v>20.5</v>
      </c>
      <c r="N13" s="30"/>
      <c r="O13" s="25"/>
    </row>
    <row r="14" spans="1:15" x14ac:dyDescent="0.25">
      <c r="E14" s="31"/>
      <c r="F14" s="2" t="s">
        <v>6</v>
      </c>
      <c r="G14" s="8">
        <v>26.1</v>
      </c>
      <c r="H14" s="30"/>
      <c r="I14" s="34"/>
      <c r="K14" s="31"/>
      <c r="L14" s="2" t="s">
        <v>6</v>
      </c>
      <c r="M14" s="2">
        <v>22.3</v>
      </c>
      <c r="N14" s="30"/>
      <c r="O14" s="25"/>
    </row>
    <row r="15" spans="1:15" x14ac:dyDescent="0.25">
      <c r="A15" s="7" t="s">
        <v>7</v>
      </c>
      <c r="B15" s="7" t="s">
        <v>13</v>
      </c>
      <c r="C15" s="7" t="s">
        <v>14</v>
      </c>
      <c r="E15" s="31">
        <v>2019</v>
      </c>
      <c r="F15" s="2" t="s">
        <v>3</v>
      </c>
      <c r="G15" s="8">
        <v>18.899999999999999</v>
      </c>
      <c r="H15" s="30">
        <f>SUM(G15:G18)</f>
        <v>88.3</v>
      </c>
      <c r="I15" s="32">
        <f>H15*C19</f>
        <v>107.726</v>
      </c>
      <c r="K15" s="31">
        <v>2019</v>
      </c>
      <c r="L15" s="2" t="s">
        <v>3</v>
      </c>
      <c r="M15" s="2">
        <v>20.9</v>
      </c>
      <c r="N15" s="30">
        <f>SUM(M15:M18)</f>
        <v>86.8</v>
      </c>
      <c r="O15" s="25">
        <f>N15*C19</f>
        <v>105.896</v>
      </c>
    </row>
    <row r="16" spans="1:15" x14ac:dyDescent="0.25">
      <c r="A16" s="1">
        <v>2016</v>
      </c>
      <c r="B16" s="1" t="s">
        <v>15</v>
      </c>
      <c r="C16" s="1">
        <v>1.242</v>
      </c>
      <c r="E16" s="31"/>
      <c r="F16" s="2" t="s">
        <v>4</v>
      </c>
      <c r="G16" s="8">
        <v>21.7</v>
      </c>
      <c r="H16" s="30"/>
      <c r="I16" s="33"/>
      <c r="K16" s="31"/>
      <c r="L16" s="2" t="s">
        <v>4</v>
      </c>
      <c r="M16" s="2">
        <v>20.9</v>
      </c>
      <c r="N16" s="30"/>
      <c r="O16" s="25"/>
    </row>
    <row r="17" spans="1:15" x14ac:dyDescent="0.25">
      <c r="A17" s="1">
        <v>2017</v>
      </c>
      <c r="B17" s="1" t="s">
        <v>16</v>
      </c>
      <c r="C17" s="1">
        <v>1.2370000000000001</v>
      </c>
      <c r="E17" s="31"/>
      <c r="F17" s="2" t="s">
        <v>5</v>
      </c>
      <c r="G17" s="8">
        <v>20.6</v>
      </c>
      <c r="H17" s="30"/>
      <c r="I17" s="33"/>
      <c r="K17" s="31"/>
      <c r="L17" s="2" t="s">
        <v>5</v>
      </c>
      <c r="M17" s="2">
        <v>21.7</v>
      </c>
      <c r="N17" s="30"/>
      <c r="O17" s="25"/>
    </row>
    <row r="18" spans="1:15" x14ac:dyDescent="0.25">
      <c r="A18" s="1">
        <v>2018</v>
      </c>
      <c r="B18" s="1" t="s">
        <v>17</v>
      </c>
      <c r="C18" s="1">
        <v>1.2310000000000001</v>
      </c>
      <c r="E18" s="31"/>
      <c r="F18" s="2" t="s">
        <v>6</v>
      </c>
      <c r="G18" s="8">
        <v>27.1</v>
      </c>
      <c r="H18" s="30"/>
      <c r="I18" s="34"/>
      <c r="K18" s="31"/>
      <c r="L18" s="2" t="s">
        <v>6</v>
      </c>
      <c r="M18" s="2">
        <v>23.3</v>
      </c>
      <c r="N18" s="30"/>
      <c r="O18" s="25"/>
    </row>
    <row r="19" spans="1:15" x14ac:dyDescent="0.25">
      <c r="A19" s="1">
        <v>2019</v>
      </c>
      <c r="B19" s="1" t="s">
        <v>18</v>
      </c>
      <c r="C19" s="1">
        <v>1.22</v>
      </c>
      <c r="E19" s="31">
        <v>2020</v>
      </c>
      <c r="F19" s="2" t="s">
        <v>3</v>
      </c>
      <c r="G19" s="8">
        <v>17.899999999999999</v>
      </c>
      <c r="H19" s="30">
        <f>SUM(G19:G22)</f>
        <v>84.300000000000011</v>
      </c>
      <c r="I19" s="32">
        <f>H19*C20</f>
        <v>103.09890000000001</v>
      </c>
      <c r="K19" s="31">
        <v>2020</v>
      </c>
      <c r="L19" s="2" t="s">
        <v>3</v>
      </c>
      <c r="M19" s="2">
        <v>21.5</v>
      </c>
      <c r="N19" s="30">
        <f>SUM(M19:M22)</f>
        <v>101.9</v>
      </c>
      <c r="O19" s="25">
        <f>N19*C20</f>
        <v>124.62370000000001</v>
      </c>
    </row>
    <row r="20" spans="1:15" x14ac:dyDescent="0.25">
      <c r="A20" s="1">
        <v>2020</v>
      </c>
      <c r="B20" s="1" t="s">
        <v>19</v>
      </c>
      <c r="C20" s="1">
        <v>1.2230000000000001</v>
      </c>
      <c r="E20" s="31"/>
      <c r="F20" s="2" t="s">
        <v>4</v>
      </c>
      <c r="G20" s="8">
        <v>20.3</v>
      </c>
      <c r="H20" s="30"/>
      <c r="I20" s="33"/>
      <c r="K20" s="31"/>
      <c r="L20" s="2" t="s">
        <v>4</v>
      </c>
      <c r="M20" s="2">
        <v>26.7</v>
      </c>
      <c r="N20" s="30"/>
      <c r="O20" s="25"/>
    </row>
    <row r="21" spans="1:15" x14ac:dyDescent="0.25">
      <c r="A21" s="1">
        <v>2021</v>
      </c>
      <c r="B21" s="1" t="s">
        <v>20</v>
      </c>
      <c r="C21" s="1">
        <v>1.1950000000000001</v>
      </c>
      <c r="E21" s="31"/>
      <c r="F21" s="2" t="s">
        <v>5</v>
      </c>
      <c r="G21" s="8">
        <v>19.5</v>
      </c>
      <c r="H21" s="30"/>
      <c r="I21" s="33"/>
      <c r="K21" s="31"/>
      <c r="L21" s="2" t="s">
        <v>5</v>
      </c>
      <c r="M21" s="2">
        <v>26.2</v>
      </c>
      <c r="N21" s="30"/>
      <c r="O21" s="25"/>
    </row>
    <row r="22" spans="1:15" x14ac:dyDescent="0.25">
      <c r="A22" s="1">
        <v>2022</v>
      </c>
      <c r="B22" s="1" t="s">
        <v>21</v>
      </c>
      <c r="C22" s="1">
        <v>1.109</v>
      </c>
      <c r="E22" s="31"/>
      <c r="F22" s="2" t="s">
        <v>6</v>
      </c>
      <c r="G22" s="8">
        <v>26.6</v>
      </c>
      <c r="H22" s="30"/>
      <c r="I22" s="34"/>
      <c r="K22" s="31"/>
      <c r="L22" s="2" t="s">
        <v>6</v>
      </c>
      <c r="M22" s="2">
        <v>27.5</v>
      </c>
      <c r="N22" s="30"/>
      <c r="O22" s="25"/>
    </row>
    <row r="23" spans="1:15" x14ac:dyDescent="0.25">
      <c r="A23" s="1">
        <v>2023</v>
      </c>
      <c r="B23" s="1" t="s">
        <v>22</v>
      </c>
      <c r="C23" s="1">
        <v>1.0429999999999999</v>
      </c>
      <c r="E23" s="31">
        <v>2021</v>
      </c>
      <c r="F23" s="2" t="s">
        <v>3</v>
      </c>
      <c r="G23" s="8">
        <v>19.600000000000001</v>
      </c>
      <c r="H23" s="30">
        <f>SUM(G23:G26)</f>
        <v>99.600000000000009</v>
      </c>
      <c r="I23" s="32">
        <f>H23*C21</f>
        <v>119.02200000000002</v>
      </c>
      <c r="K23" s="31">
        <v>2021</v>
      </c>
      <c r="L23" s="2" t="s">
        <v>3</v>
      </c>
      <c r="M23" s="2">
        <v>25.6</v>
      </c>
      <c r="N23" s="30">
        <f>SUM(M23:M26)</f>
        <v>105.6</v>
      </c>
      <c r="O23" s="25">
        <f>N23*C21</f>
        <v>126.19199999999999</v>
      </c>
    </row>
    <row r="24" spans="1:15" x14ac:dyDescent="0.25">
      <c r="A24" s="1">
        <v>2024</v>
      </c>
      <c r="B24" s="1" t="s">
        <v>23</v>
      </c>
      <c r="C24" s="1">
        <v>1.022</v>
      </c>
      <c r="E24" s="31"/>
      <c r="F24" s="2" t="s">
        <v>4</v>
      </c>
      <c r="G24" s="8">
        <v>23.8</v>
      </c>
      <c r="H24" s="30"/>
      <c r="I24" s="33"/>
      <c r="K24" s="31"/>
      <c r="L24" s="2" t="s">
        <v>4</v>
      </c>
      <c r="M24" s="2">
        <v>26</v>
      </c>
      <c r="N24" s="30"/>
      <c r="O24" s="25"/>
    </row>
    <row r="25" spans="1:15" x14ac:dyDescent="0.25">
      <c r="A25" s="1">
        <v>2025</v>
      </c>
      <c r="B25" s="1" t="s">
        <v>24</v>
      </c>
      <c r="C25" s="1">
        <v>1</v>
      </c>
      <c r="E25" s="31"/>
      <c r="F25" s="2" t="s">
        <v>5</v>
      </c>
      <c r="G25" s="8">
        <v>24</v>
      </c>
      <c r="H25" s="30"/>
      <c r="I25" s="33"/>
      <c r="K25" s="31"/>
      <c r="L25" s="2" t="s">
        <v>5</v>
      </c>
      <c r="M25" s="2">
        <v>26.6</v>
      </c>
      <c r="N25" s="30"/>
      <c r="O25" s="25"/>
    </row>
    <row r="26" spans="1:15" x14ac:dyDescent="0.25">
      <c r="D26" s="9"/>
      <c r="E26" s="31"/>
      <c r="F26" s="2" t="s">
        <v>6</v>
      </c>
      <c r="G26" s="8">
        <v>32.200000000000003</v>
      </c>
      <c r="H26" s="30"/>
      <c r="I26" s="34"/>
      <c r="K26" s="31"/>
      <c r="L26" s="2" t="s">
        <v>6</v>
      </c>
      <c r="M26" s="2">
        <v>27.4</v>
      </c>
      <c r="N26" s="30"/>
      <c r="O26" s="25"/>
    </row>
    <row r="27" spans="1:15" x14ac:dyDescent="0.25">
      <c r="D27" s="9"/>
      <c r="E27" s="31">
        <v>2022</v>
      </c>
      <c r="F27" s="2" t="s">
        <v>3</v>
      </c>
      <c r="G27" s="8">
        <v>24.3</v>
      </c>
      <c r="H27" s="30">
        <f>SUM(G27:G30)</f>
        <v>112.80000000000001</v>
      </c>
      <c r="I27" s="32">
        <f>H27*C22</f>
        <v>125.09520000000001</v>
      </c>
      <c r="K27" s="31">
        <v>2022</v>
      </c>
      <c r="L27" s="2" t="s">
        <v>3</v>
      </c>
      <c r="M27" s="2">
        <v>24.7</v>
      </c>
      <c r="N27" s="30">
        <f>SUM(M27:M30)</f>
        <v>107.69999999999999</v>
      </c>
      <c r="O27" s="25">
        <f>N27*C22</f>
        <v>119.43929999999999</v>
      </c>
    </row>
    <row r="28" spans="1:15" x14ac:dyDescent="0.25">
      <c r="A28" s="7" t="s">
        <v>7</v>
      </c>
      <c r="B28" s="7" t="s">
        <v>38</v>
      </c>
      <c r="C28" s="7" t="s">
        <v>39</v>
      </c>
      <c r="D28" s="9"/>
      <c r="E28" s="31"/>
      <c r="F28" s="2" t="s">
        <v>4</v>
      </c>
      <c r="G28" s="8">
        <v>27.6</v>
      </c>
      <c r="H28" s="30"/>
      <c r="I28" s="33"/>
      <c r="K28" s="31"/>
      <c r="L28" s="2" t="s">
        <v>4</v>
      </c>
      <c r="M28" s="2">
        <v>26.1</v>
      </c>
      <c r="N28" s="30"/>
      <c r="O28" s="25"/>
    </row>
    <row r="29" spans="1:15" x14ac:dyDescent="0.25">
      <c r="A29" s="1">
        <v>2014</v>
      </c>
      <c r="B29" s="18">
        <v>0.28299999999999997</v>
      </c>
      <c r="C29" s="1" t="s">
        <v>40</v>
      </c>
      <c r="D29" s="9"/>
      <c r="E29" s="31"/>
      <c r="F29" s="2" t="s">
        <v>5</v>
      </c>
      <c r="G29" s="8">
        <v>28.8</v>
      </c>
      <c r="H29" s="30"/>
      <c r="I29" s="33"/>
      <c r="K29" s="31"/>
      <c r="L29" s="2" t="s">
        <v>5</v>
      </c>
      <c r="M29" s="2">
        <v>27</v>
      </c>
      <c r="N29" s="30"/>
      <c r="O29" s="25"/>
    </row>
    <row r="30" spans="1:15" x14ac:dyDescent="0.25">
      <c r="A30" s="1">
        <v>2015</v>
      </c>
      <c r="B30" s="18">
        <v>0.223</v>
      </c>
      <c r="C30" s="1" t="s">
        <v>40</v>
      </c>
      <c r="D30" s="9"/>
      <c r="E30" s="31"/>
      <c r="F30" s="2" t="s">
        <v>6</v>
      </c>
      <c r="G30" s="8">
        <v>32.1</v>
      </c>
      <c r="H30" s="30"/>
      <c r="I30" s="34"/>
      <c r="K30" s="31"/>
      <c r="L30" s="2" t="s">
        <v>6</v>
      </c>
      <c r="M30" s="2">
        <v>29.9</v>
      </c>
      <c r="N30" s="30"/>
      <c r="O30" s="25"/>
    </row>
    <row r="31" spans="1:15" x14ac:dyDescent="0.25">
      <c r="A31" s="1">
        <v>2016</v>
      </c>
      <c r="B31" s="18">
        <v>0.23</v>
      </c>
      <c r="C31" s="1" t="s">
        <v>40</v>
      </c>
      <c r="D31" s="9"/>
      <c r="E31" s="31">
        <v>2023</v>
      </c>
      <c r="F31" s="2" t="s">
        <v>3</v>
      </c>
      <c r="G31" s="8">
        <v>27.6</v>
      </c>
      <c r="H31" s="30">
        <f>SUM(G31:G34)</f>
        <v>123.8</v>
      </c>
      <c r="I31" s="32">
        <f>H31*C23</f>
        <v>129.12339999999998</v>
      </c>
      <c r="K31" s="31">
        <v>2023</v>
      </c>
      <c r="L31" s="2" t="s">
        <v>3</v>
      </c>
      <c r="M31" s="2">
        <v>27.2</v>
      </c>
      <c r="N31" s="30">
        <f>SUM(M31:M34)</f>
        <v>116.6</v>
      </c>
      <c r="O31" s="25">
        <f>N31*C23</f>
        <v>121.61379999999998</v>
      </c>
    </row>
    <row r="32" spans="1:15" x14ac:dyDescent="0.25">
      <c r="A32" s="1">
        <v>2017</v>
      </c>
      <c r="B32" s="18">
        <v>0.22800000000000001</v>
      </c>
      <c r="C32" s="1" t="s">
        <v>40</v>
      </c>
      <c r="D32" s="9"/>
      <c r="E32" s="31"/>
      <c r="F32" s="2" t="s">
        <v>4</v>
      </c>
      <c r="G32" s="8">
        <v>29.7</v>
      </c>
      <c r="H32" s="30"/>
      <c r="I32" s="33"/>
      <c r="K32" s="31"/>
      <c r="L32" s="2" t="s">
        <v>4</v>
      </c>
      <c r="M32" s="2">
        <v>28.3</v>
      </c>
      <c r="N32" s="30"/>
      <c r="O32" s="25"/>
    </row>
    <row r="33" spans="1:15" x14ac:dyDescent="0.25">
      <c r="A33" s="1">
        <v>2018</v>
      </c>
      <c r="B33" s="18">
        <v>0.223</v>
      </c>
      <c r="C33" s="1" t="s">
        <v>40</v>
      </c>
      <c r="D33" s="9"/>
      <c r="E33" s="31"/>
      <c r="F33" s="2" t="s">
        <v>5</v>
      </c>
      <c r="G33" s="8">
        <v>28.8</v>
      </c>
      <c r="H33" s="30"/>
      <c r="I33" s="33"/>
      <c r="K33" s="31"/>
      <c r="L33" s="2" t="s">
        <v>5</v>
      </c>
      <c r="M33" s="2">
        <v>29.2</v>
      </c>
      <c r="N33" s="30"/>
      <c r="O33" s="25"/>
    </row>
    <row r="34" spans="1:15" x14ac:dyDescent="0.25">
      <c r="A34" s="1">
        <v>2019</v>
      </c>
      <c r="B34" s="18">
        <v>0.218</v>
      </c>
      <c r="C34" s="1" t="s">
        <v>40</v>
      </c>
      <c r="D34" s="9"/>
      <c r="E34" s="31"/>
      <c r="F34" s="2" t="s">
        <v>6</v>
      </c>
      <c r="G34" s="8">
        <v>37.700000000000003</v>
      </c>
      <c r="H34" s="30"/>
      <c r="I34" s="34"/>
      <c r="K34" s="31"/>
      <c r="L34" s="2" t="s">
        <v>6</v>
      </c>
      <c r="M34" s="2">
        <v>31.9</v>
      </c>
      <c r="N34" s="30"/>
      <c r="O34" s="25"/>
    </row>
    <row r="35" spans="1:15" x14ac:dyDescent="0.25">
      <c r="A35" s="1">
        <v>2020</v>
      </c>
      <c r="B35" s="18">
        <v>0.19400000000000001</v>
      </c>
      <c r="C35" s="1" t="s">
        <v>40</v>
      </c>
      <c r="D35" s="9"/>
      <c r="E35" s="31">
        <v>2024</v>
      </c>
      <c r="F35" s="2" t="s">
        <v>3</v>
      </c>
      <c r="G35" s="8">
        <v>28.9</v>
      </c>
      <c r="H35" s="30">
        <f>SUM(G35:G38)</f>
        <v>148.6</v>
      </c>
      <c r="I35" s="25">
        <f>H35*C24</f>
        <v>151.86920000000001</v>
      </c>
      <c r="K35" s="31">
        <v>2024</v>
      </c>
      <c r="L35" s="2" t="s">
        <v>3</v>
      </c>
      <c r="M35" s="2">
        <v>29.6</v>
      </c>
      <c r="N35" s="30">
        <f>SUM(M35:M38)</f>
        <v>125.7</v>
      </c>
      <c r="O35" s="25">
        <f>N35*C24</f>
        <v>128.46540000000002</v>
      </c>
    </row>
    <row r="36" spans="1:15" x14ac:dyDescent="0.25">
      <c r="A36" s="1">
        <v>2021</v>
      </c>
      <c r="B36" s="18">
        <v>0.2</v>
      </c>
      <c r="C36" s="1" t="s">
        <v>40</v>
      </c>
      <c r="D36" s="9"/>
      <c r="E36" s="31"/>
      <c r="F36" s="2" t="s">
        <v>4</v>
      </c>
      <c r="G36" s="8">
        <v>33.5</v>
      </c>
      <c r="H36" s="30"/>
      <c r="I36" s="25"/>
      <c r="K36" s="31"/>
      <c r="L36" s="2" t="s">
        <v>4</v>
      </c>
      <c r="M36" s="2">
        <v>30.5</v>
      </c>
      <c r="N36" s="30"/>
      <c r="O36" s="25"/>
    </row>
    <row r="37" spans="1:15" x14ac:dyDescent="0.25">
      <c r="A37" s="1">
        <v>2022</v>
      </c>
      <c r="B37" s="18">
        <v>0.20300000000000001</v>
      </c>
      <c r="C37" s="1" t="s">
        <v>40</v>
      </c>
      <c r="E37" s="31"/>
      <c r="F37" s="2" t="s">
        <v>5</v>
      </c>
      <c r="G37" s="8">
        <v>46.6</v>
      </c>
      <c r="H37" s="30"/>
      <c r="I37" s="25"/>
      <c r="K37" s="31"/>
      <c r="L37" s="2" t="s">
        <v>5</v>
      </c>
      <c r="M37" s="2">
        <v>31.1</v>
      </c>
      <c r="N37" s="30"/>
      <c r="O37" s="25"/>
    </row>
    <row r="38" spans="1:15" x14ac:dyDescent="0.25">
      <c r="A38" s="1">
        <v>2023</v>
      </c>
      <c r="B38" s="18">
        <v>0.21299999999999999</v>
      </c>
      <c r="C38" s="1" t="s">
        <v>41</v>
      </c>
      <c r="E38" s="31"/>
      <c r="F38" s="2" t="s">
        <v>6</v>
      </c>
      <c r="G38" s="8">
        <v>39.6</v>
      </c>
      <c r="H38" s="30"/>
      <c r="I38" s="25"/>
      <c r="K38" s="31"/>
      <c r="L38" s="2" t="s">
        <v>6</v>
      </c>
      <c r="M38" s="2">
        <v>34.5</v>
      </c>
      <c r="N38" s="30"/>
      <c r="O38" s="25"/>
    </row>
    <row r="39" spans="1:15" x14ac:dyDescent="0.25">
      <c r="A39" s="17">
        <v>2024</v>
      </c>
      <c r="B39" s="19">
        <v>0.217</v>
      </c>
      <c r="C39" s="17" t="s">
        <v>42</v>
      </c>
      <c r="E39" s="31">
        <v>2025</v>
      </c>
      <c r="F39" s="2" t="s">
        <v>3</v>
      </c>
      <c r="G39" s="8">
        <v>31.3</v>
      </c>
      <c r="H39" s="30">
        <f>SUM(G39:G42)</f>
        <v>149.5</v>
      </c>
      <c r="I39" s="25">
        <f>H39*C25</f>
        <v>149.5</v>
      </c>
      <c r="K39" s="31">
        <v>2025</v>
      </c>
      <c r="L39" s="2" t="s">
        <v>3</v>
      </c>
      <c r="M39" s="2">
        <v>30.8</v>
      </c>
      <c r="N39" s="30">
        <f>SUM(M39:M42)</f>
        <v>133.9</v>
      </c>
      <c r="O39" s="25">
        <f>N39*C25</f>
        <v>133.9</v>
      </c>
    </row>
    <row r="40" spans="1:15" x14ac:dyDescent="0.25">
      <c r="A40" s="1">
        <v>2025</v>
      </c>
      <c r="B40" s="1" t="s">
        <v>43</v>
      </c>
      <c r="C40" s="1" t="s">
        <v>44</v>
      </c>
      <c r="E40" s="31"/>
      <c r="F40" s="2" t="s">
        <v>4</v>
      </c>
      <c r="G40" s="8">
        <v>39.4</v>
      </c>
      <c r="H40" s="30"/>
      <c r="I40" s="25"/>
      <c r="K40" s="31"/>
      <c r="L40" s="2" t="s">
        <v>4</v>
      </c>
      <c r="M40" s="2">
        <v>32.799999999999997</v>
      </c>
      <c r="N40" s="30"/>
      <c r="O40" s="25"/>
    </row>
    <row r="41" spans="1:15" x14ac:dyDescent="0.25">
      <c r="A41" s="1">
        <v>2026</v>
      </c>
      <c r="B41" s="1" t="s">
        <v>43</v>
      </c>
      <c r="C41" s="1" t="s">
        <v>44</v>
      </c>
      <c r="E41" s="31"/>
      <c r="F41" s="2" t="s">
        <v>5</v>
      </c>
      <c r="G41" s="8">
        <v>32.9</v>
      </c>
      <c r="H41" s="30"/>
      <c r="I41" s="25"/>
      <c r="K41" s="31"/>
      <c r="L41" s="2" t="s">
        <v>5</v>
      </c>
      <c r="M41" s="2">
        <v>33.4</v>
      </c>
      <c r="N41" s="30"/>
      <c r="O41" s="25"/>
    </row>
    <row r="42" spans="1:15" x14ac:dyDescent="0.25">
      <c r="E42" s="31"/>
      <c r="F42" s="2" t="s">
        <v>6</v>
      </c>
      <c r="G42" s="8">
        <v>45.9</v>
      </c>
      <c r="H42" s="30"/>
      <c r="I42" s="25"/>
      <c r="K42" s="31"/>
      <c r="L42" s="2" t="s">
        <v>6</v>
      </c>
      <c r="M42" s="2">
        <v>36.9</v>
      </c>
      <c r="N42" s="30"/>
      <c r="O42" s="25"/>
    </row>
    <row r="51" spans="4:10" x14ac:dyDescent="0.25">
      <c r="D51" s="2" t="s">
        <v>7</v>
      </c>
      <c r="E51" s="2" t="s">
        <v>37</v>
      </c>
      <c r="F51" s="2" t="s">
        <v>33</v>
      </c>
      <c r="G51" s="2" t="s">
        <v>34</v>
      </c>
      <c r="H51" s="2" t="s">
        <v>35</v>
      </c>
      <c r="I51" s="2" t="s">
        <v>36</v>
      </c>
      <c r="J51" s="2"/>
    </row>
    <row r="52" spans="4:10" x14ac:dyDescent="0.25">
      <c r="D52" s="2">
        <v>2016</v>
      </c>
      <c r="E52" s="2">
        <v>379.71666000000005</v>
      </c>
      <c r="F52" s="2">
        <v>91.53540000000001</v>
      </c>
      <c r="G52" s="15">
        <v>94.143599999999992</v>
      </c>
      <c r="H52" s="2">
        <v>-2.57</v>
      </c>
      <c r="I52" s="16">
        <f t="shared" ref="I52:I61" si="1">(H52/E52)</f>
        <v>-6.768204481731193E-3</v>
      </c>
      <c r="J52" s="15"/>
    </row>
    <row r="53" spans="4:10" x14ac:dyDescent="0.25">
      <c r="D53" s="2">
        <v>2017</v>
      </c>
      <c r="E53" s="2">
        <v>431.13161000000002</v>
      </c>
      <c r="F53" s="2">
        <v>95.249000000000009</v>
      </c>
      <c r="G53" s="15">
        <v>96.362299999999991</v>
      </c>
      <c r="H53" s="2">
        <v>-1.1499999999999999</v>
      </c>
      <c r="I53" s="16">
        <f t="shared" si="1"/>
        <v>-2.6673989411261211E-3</v>
      </c>
      <c r="J53" s="15"/>
    </row>
    <row r="54" spans="4:10" x14ac:dyDescent="0.25">
      <c r="D54" s="2">
        <v>2018</v>
      </c>
      <c r="E54" s="2">
        <v>486.81126</v>
      </c>
      <c r="F54" s="2">
        <v>102.41920000000002</v>
      </c>
      <c r="G54" s="15">
        <v>102.04990000000001</v>
      </c>
      <c r="H54" s="2">
        <v>0.42</v>
      </c>
      <c r="I54" s="16">
        <f t="shared" si="1"/>
        <v>8.6275736514393681E-4</v>
      </c>
      <c r="J54" s="15"/>
    </row>
    <row r="55" spans="4:10" x14ac:dyDescent="0.25">
      <c r="D55" s="2">
        <v>2019</v>
      </c>
      <c r="E55" s="2">
        <v>496.68639999999999</v>
      </c>
      <c r="F55" s="2">
        <v>107.726</v>
      </c>
      <c r="G55" s="15">
        <v>105.896</v>
      </c>
      <c r="H55" s="2">
        <v>1.83</v>
      </c>
      <c r="I55" s="16">
        <f t="shared" si="1"/>
        <v>3.6844173707997643E-3</v>
      </c>
      <c r="J55" s="15"/>
    </row>
    <row r="56" spans="4:10" x14ac:dyDescent="0.25">
      <c r="D56" s="2">
        <v>2020</v>
      </c>
      <c r="E56" s="2">
        <v>533.90065000000004</v>
      </c>
      <c r="F56" s="2">
        <v>103.09890000000001</v>
      </c>
      <c r="G56" s="15">
        <v>124.62370000000001</v>
      </c>
      <c r="H56" s="2">
        <v>-21.5</v>
      </c>
      <c r="I56" s="16">
        <f t="shared" si="1"/>
        <v>-4.0269664402918404E-2</v>
      </c>
      <c r="J56" s="15"/>
    </row>
    <row r="57" spans="4:10" x14ac:dyDescent="0.25">
      <c r="D57" s="2">
        <v>2021</v>
      </c>
      <c r="E57" s="2">
        <v>634.90350000000001</v>
      </c>
      <c r="F57" s="2">
        <v>119.02200000000002</v>
      </c>
      <c r="G57" s="15">
        <v>126.19199999999999</v>
      </c>
      <c r="H57" s="2">
        <v>-7.18</v>
      </c>
      <c r="I57" s="16">
        <f t="shared" si="1"/>
        <v>-1.1308805196380237E-2</v>
      </c>
      <c r="J57" s="15"/>
    </row>
    <row r="58" spans="4:10" x14ac:dyDescent="0.25">
      <c r="D58" s="2">
        <v>2022</v>
      </c>
      <c r="E58" s="2">
        <v>608.36413000000005</v>
      </c>
      <c r="F58" s="2">
        <v>125.09520000000001</v>
      </c>
      <c r="G58" s="15">
        <v>119.43929999999999</v>
      </c>
      <c r="H58" s="2">
        <v>5.7</v>
      </c>
      <c r="I58" s="16">
        <f t="shared" si="1"/>
        <v>9.3693886916048127E-3</v>
      </c>
      <c r="J58" s="15"/>
    </row>
    <row r="59" spans="4:10" x14ac:dyDescent="0.25">
      <c r="D59" s="2">
        <v>2023</v>
      </c>
      <c r="E59" s="2">
        <v>575.09976999999992</v>
      </c>
      <c r="F59" s="2">
        <v>129.12339999999998</v>
      </c>
      <c r="G59" s="15">
        <v>121.61379999999998</v>
      </c>
      <c r="H59" s="2">
        <v>7.52</v>
      </c>
      <c r="I59" s="16">
        <f t="shared" si="1"/>
        <v>1.3075992014394303E-2</v>
      </c>
      <c r="J59" s="15"/>
    </row>
    <row r="60" spans="4:10" x14ac:dyDescent="0.25">
      <c r="D60" s="2">
        <v>2024</v>
      </c>
      <c r="E60" s="2">
        <v>590.09258</v>
      </c>
      <c r="F60" s="2">
        <v>151.86920000000001</v>
      </c>
      <c r="G60" s="15">
        <v>128.46540000000002</v>
      </c>
      <c r="H60" s="2">
        <v>23.37</v>
      </c>
      <c r="I60" s="16">
        <f t="shared" si="1"/>
        <v>3.9603955026853585E-2</v>
      </c>
      <c r="J60" s="15"/>
    </row>
    <row r="61" spans="4:10" x14ac:dyDescent="0.25">
      <c r="D61" s="2">
        <v>2025</v>
      </c>
      <c r="E61" s="2">
        <v>586.63</v>
      </c>
      <c r="F61" s="2">
        <v>149.5</v>
      </c>
      <c r="G61" s="15">
        <v>133.9</v>
      </c>
      <c r="H61" s="2">
        <v>15.6</v>
      </c>
      <c r="I61" s="16">
        <f t="shared" si="1"/>
        <v>2.6592571126604504E-2</v>
      </c>
      <c r="J61" s="15"/>
    </row>
    <row r="63" spans="4:10" x14ac:dyDescent="0.25">
      <c r="E63" t="s">
        <v>31</v>
      </c>
      <c r="F63">
        <f>CORREL(E52:E61,G52:G61)</f>
        <v>0.89826335674697599</v>
      </c>
      <c r="I63" s="2"/>
      <c r="J63" s="2"/>
    </row>
  </sheetData>
  <mergeCells count="63">
    <mergeCell ref="N3:N6"/>
    <mergeCell ref="N7:N10"/>
    <mergeCell ref="N11:N14"/>
    <mergeCell ref="E39:E42"/>
    <mergeCell ref="E11:E14"/>
    <mergeCell ref="E7:E10"/>
    <mergeCell ref="E3:E6"/>
    <mergeCell ref="E15:E18"/>
    <mergeCell ref="E19:E22"/>
    <mergeCell ref="E23:E26"/>
    <mergeCell ref="E27:E30"/>
    <mergeCell ref="E31:E34"/>
    <mergeCell ref="E35:E38"/>
    <mergeCell ref="K3:K6"/>
    <mergeCell ref="K7:K10"/>
    <mergeCell ref="K11:K14"/>
    <mergeCell ref="H3:H6"/>
    <mergeCell ref="H7:H10"/>
    <mergeCell ref="H11:H14"/>
    <mergeCell ref="H15:H18"/>
    <mergeCell ref="H19:H22"/>
    <mergeCell ref="H39:H42"/>
    <mergeCell ref="K23:K26"/>
    <mergeCell ref="K27:K30"/>
    <mergeCell ref="K31:K34"/>
    <mergeCell ref="K35:K38"/>
    <mergeCell ref="K39:K42"/>
    <mergeCell ref="N35:N38"/>
    <mergeCell ref="H23:H26"/>
    <mergeCell ref="H27:H30"/>
    <mergeCell ref="H31:H34"/>
    <mergeCell ref="H35:H38"/>
    <mergeCell ref="I23:I26"/>
    <mergeCell ref="I27:I30"/>
    <mergeCell ref="I31:I34"/>
    <mergeCell ref="N15:N18"/>
    <mergeCell ref="N19:N22"/>
    <mergeCell ref="N23:N26"/>
    <mergeCell ref="N27:N30"/>
    <mergeCell ref="N31:N34"/>
    <mergeCell ref="K15:K18"/>
    <mergeCell ref="K19:K22"/>
    <mergeCell ref="I3:I6"/>
    <mergeCell ref="I7:I10"/>
    <mergeCell ref="I11:I14"/>
    <mergeCell ref="I15:I18"/>
    <mergeCell ref="I19:I22"/>
    <mergeCell ref="O35:O38"/>
    <mergeCell ref="O39:O42"/>
    <mergeCell ref="K1:O1"/>
    <mergeCell ref="A1:C1"/>
    <mergeCell ref="I35:I38"/>
    <mergeCell ref="I39:I42"/>
    <mergeCell ref="O3:O6"/>
    <mergeCell ref="O7:O10"/>
    <mergeCell ref="O11:O14"/>
    <mergeCell ref="O15:O18"/>
    <mergeCell ref="O19:O22"/>
    <mergeCell ref="O23:O26"/>
    <mergeCell ref="O27:O30"/>
    <mergeCell ref="O31:O34"/>
    <mergeCell ref="N39:N42"/>
    <mergeCell ref="E1:I1"/>
  </mergeCells>
  <phoneticPr fontId="2" type="noConversion"/>
  <pageMargins left="0.7" right="0.7" top="0.75" bottom="0.75" header="0.3" footer="0.3"/>
  <pageSetup paperSize="9" orientation="portrait" r:id="rId1"/>
  <ignoredErrors>
    <ignoredError sqref="H3:H42 N3 N4:N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19F9-A22B-4F65-AB0E-515DDD07A17A}">
  <dimension ref="A1:O29"/>
  <sheetViews>
    <sheetView workbookViewId="0">
      <selection activeCell="E19" sqref="E19"/>
    </sheetView>
  </sheetViews>
  <sheetFormatPr defaultColWidth="19.7109375" defaultRowHeight="15" x14ac:dyDescent="0.25"/>
  <sheetData>
    <row r="1" spans="1:15" ht="30.75" thickBot="1" x14ac:dyDescent="0.3">
      <c r="A1" s="11" t="s">
        <v>7</v>
      </c>
      <c r="B1" s="11" t="s">
        <v>30</v>
      </c>
      <c r="C1" s="11" t="s">
        <v>27</v>
      </c>
      <c r="D1" s="11" t="s">
        <v>28</v>
      </c>
      <c r="E1" s="12" t="s">
        <v>29</v>
      </c>
      <c r="G1" t="s">
        <v>46</v>
      </c>
    </row>
    <row r="2" spans="1:15" ht="15.75" thickBot="1" x14ac:dyDescent="0.3">
      <c r="A2" s="11">
        <v>2016</v>
      </c>
      <c r="B2" s="13">
        <v>379.72</v>
      </c>
      <c r="C2" s="13">
        <v>94.14</v>
      </c>
      <c r="D2" s="13">
        <v>91.53</v>
      </c>
      <c r="E2" s="14">
        <v>-2.61</v>
      </c>
    </row>
    <row r="3" spans="1:15" ht="15.75" thickBot="1" x14ac:dyDescent="0.3">
      <c r="A3" s="11">
        <v>2017</v>
      </c>
      <c r="B3" s="13">
        <v>431.13</v>
      </c>
      <c r="C3" s="13">
        <v>92.8</v>
      </c>
      <c r="D3" s="13">
        <v>95.11</v>
      </c>
      <c r="E3" s="14">
        <v>2.31</v>
      </c>
      <c r="G3" s="24" t="s">
        <v>47</v>
      </c>
      <c r="H3" s="24"/>
    </row>
    <row r="4" spans="1:15" ht="15.75" thickBot="1" x14ac:dyDescent="0.3">
      <c r="A4" s="11">
        <v>2018</v>
      </c>
      <c r="B4" s="13">
        <v>486.81</v>
      </c>
      <c r="C4" s="13">
        <v>97.5</v>
      </c>
      <c r="D4" s="13">
        <v>101.2</v>
      </c>
      <c r="E4" s="14">
        <v>3.7</v>
      </c>
      <c r="G4" s="21" t="s">
        <v>48</v>
      </c>
      <c r="H4" s="21">
        <v>0.97816301053440857</v>
      </c>
    </row>
    <row r="5" spans="1:15" ht="15.75" thickBot="1" x14ac:dyDescent="0.3">
      <c r="A5" s="11">
        <v>2019</v>
      </c>
      <c r="B5" s="13">
        <v>496.69</v>
      </c>
      <c r="C5" s="13">
        <v>101.15</v>
      </c>
      <c r="D5" s="13">
        <v>106.8</v>
      </c>
      <c r="E5" s="14">
        <v>5.65</v>
      </c>
      <c r="G5" s="21" t="s">
        <v>49</v>
      </c>
      <c r="H5" s="21">
        <v>0.95680287517773754</v>
      </c>
    </row>
    <row r="6" spans="1:15" ht="15.75" thickBot="1" x14ac:dyDescent="0.3">
      <c r="A6" s="11">
        <v>2020</v>
      </c>
      <c r="B6" s="13">
        <v>533</v>
      </c>
      <c r="C6" s="13">
        <v>120.4</v>
      </c>
      <c r="D6" s="13">
        <v>111.3</v>
      </c>
      <c r="E6" s="14">
        <v>-9.1</v>
      </c>
      <c r="G6" s="21" t="s">
        <v>50</v>
      </c>
      <c r="H6" s="21">
        <v>0.95140323457495479</v>
      </c>
    </row>
    <row r="7" spans="1:15" ht="15.75" thickBot="1" x14ac:dyDescent="0.3">
      <c r="A7" s="11">
        <v>2021</v>
      </c>
      <c r="B7" s="13">
        <v>598.29999999999995</v>
      </c>
      <c r="C7" s="13">
        <v>126.19</v>
      </c>
      <c r="D7" s="13">
        <v>119.02</v>
      </c>
      <c r="E7" s="14">
        <v>-7.17</v>
      </c>
      <c r="G7" s="21" t="s">
        <v>51</v>
      </c>
      <c r="H7" s="21">
        <v>5.6665323981023477</v>
      </c>
    </row>
    <row r="8" spans="1:15" ht="15.75" thickBot="1" x14ac:dyDescent="0.3">
      <c r="A8" s="11">
        <v>2022</v>
      </c>
      <c r="B8" s="13">
        <v>654.1</v>
      </c>
      <c r="C8" s="13">
        <v>121.8</v>
      </c>
      <c r="D8" s="13">
        <v>134.19999999999999</v>
      </c>
      <c r="E8" s="14">
        <v>12.4</v>
      </c>
      <c r="G8" s="22" t="s">
        <v>52</v>
      </c>
      <c r="H8" s="22">
        <v>10</v>
      </c>
    </row>
    <row r="9" spans="1:15" ht="15.75" thickBot="1" x14ac:dyDescent="0.3">
      <c r="A9" s="11">
        <v>2023</v>
      </c>
      <c r="B9" s="13">
        <v>682.9</v>
      </c>
      <c r="C9" s="13">
        <v>132.1</v>
      </c>
      <c r="D9" s="13">
        <v>146.5</v>
      </c>
      <c r="E9" s="14">
        <v>14.4</v>
      </c>
    </row>
    <row r="10" spans="1:15" ht="15.75" thickBot="1" x14ac:dyDescent="0.3">
      <c r="A10" s="11">
        <v>2024</v>
      </c>
      <c r="B10" s="13">
        <v>711.2</v>
      </c>
      <c r="C10" s="13">
        <v>140.5</v>
      </c>
      <c r="D10" s="13">
        <v>155.1</v>
      </c>
      <c r="E10" s="14">
        <v>14.6</v>
      </c>
      <c r="G10" t="s">
        <v>53</v>
      </c>
    </row>
    <row r="11" spans="1:15" ht="15.75" thickBot="1" x14ac:dyDescent="0.3">
      <c r="A11" s="11">
        <v>2025</v>
      </c>
      <c r="B11" s="13">
        <v>739.4</v>
      </c>
      <c r="C11" s="13">
        <v>148.9</v>
      </c>
      <c r="D11" s="13">
        <v>162.80000000000001</v>
      </c>
      <c r="E11" s="14">
        <v>13.9</v>
      </c>
      <c r="G11" s="23"/>
      <c r="H11" s="23" t="s">
        <v>58</v>
      </c>
      <c r="I11" s="23" t="s">
        <v>59</v>
      </c>
      <c r="J11" s="23" t="s">
        <v>60</v>
      </c>
      <c r="K11" s="23" t="s">
        <v>61</v>
      </c>
      <c r="L11" s="23" t="s">
        <v>62</v>
      </c>
    </row>
    <row r="12" spans="1:15" x14ac:dyDescent="0.25">
      <c r="G12" s="21" t="s">
        <v>54</v>
      </c>
      <c r="H12" s="21">
        <v>1</v>
      </c>
      <c r="I12" s="21">
        <v>5689.7393246500524</v>
      </c>
      <c r="J12" s="21">
        <v>5689.7393246500524</v>
      </c>
      <c r="K12" s="21">
        <v>177.19751101297931</v>
      </c>
      <c r="L12" s="21">
        <v>9.6899808457341292E-7</v>
      </c>
    </row>
    <row r="13" spans="1:15" x14ac:dyDescent="0.25">
      <c r="G13" s="21" t="s">
        <v>55</v>
      </c>
      <c r="H13" s="21">
        <v>8</v>
      </c>
      <c r="I13" s="21">
        <v>256.87671534994831</v>
      </c>
      <c r="J13" s="21">
        <v>32.109589418743539</v>
      </c>
      <c r="K13" s="21"/>
      <c r="L13" s="21"/>
    </row>
    <row r="14" spans="1:15" ht="15.75" thickBot="1" x14ac:dyDescent="0.3">
      <c r="G14" s="22" t="s">
        <v>56</v>
      </c>
      <c r="H14" s="22">
        <v>9</v>
      </c>
      <c r="I14" s="22">
        <v>5946.6160400000008</v>
      </c>
      <c r="J14" s="22"/>
      <c r="K14" s="22"/>
      <c r="L14" s="22"/>
    </row>
    <row r="15" spans="1:15" ht="30.75" thickBot="1" x14ac:dyDescent="0.3">
      <c r="A15" s="11" t="s">
        <v>7</v>
      </c>
      <c r="B15" s="11" t="s">
        <v>30</v>
      </c>
      <c r="C15" s="11" t="s">
        <v>28</v>
      </c>
    </row>
    <row r="16" spans="1:15" ht="15.75" thickBot="1" x14ac:dyDescent="0.3">
      <c r="A16" s="11">
        <v>2016</v>
      </c>
      <c r="B16" s="13">
        <v>379.72</v>
      </c>
      <c r="C16" s="13">
        <v>91.53</v>
      </c>
      <c r="G16" s="23"/>
      <c r="H16" s="23" t="s">
        <v>63</v>
      </c>
      <c r="I16" s="23" t="s">
        <v>51</v>
      </c>
      <c r="J16" s="23" t="s">
        <v>64</v>
      </c>
      <c r="K16" s="23" t="s">
        <v>65</v>
      </c>
      <c r="L16" s="23" t="s">
        <v>66</v>
      </c>
      <c r="M16" s="23" t="s">
        <v>67</v>
      </c>
      <c r="N16" s="23" t="s">
        <v>68</v>
      </c>
      <c r="O16" s="23" t="s">
        <v>69</v>
      </c>
    </row>
    <row r="17" spans="1:15" ht="15.75" thickBot="1" x14ac:dyDescent="0.3">
      <c r="A17" s="11">
        <v>2017</v>
      </c>
      <c r="B17" s="13">
        <v>431.13</v>
      </c>
      <c r="C17" s="13">
        <v>95.11</v>
      </c>
      <c r="G17" s="21" t="s">
        <v>57</v>
      </c>
      <c r="H17" s="21">
        <v>6.5117497296282068</v>
      </c>
      <c r="I17" s="21">
        <v>8.8851020293479088</v>
      </c>
      <c r="J17" s="21">
        <v>0.73288406909899195</v>
      </c>
      <c r="K17" s="21">
        <v>0.48454684845917517</v>
      </c>
      <c r="L17" s="21">
        <v>-13.977332291759009</v>
      </c>
      <c r="M17" s="21">
        <v>27.000831751015422</v>
      </c>
      <c r="N17" s="21">
        <v>-13.977332291759009</v>
      </c>
      <c r="O17" s="21">
        <v>27.000831751015422</v>
      </c>
    </row>
    <row r="18" spans="1:15" ht="15.75" thickBot="1" x14ac:dyDescent="0.3">
      <c r="A18" s="11">
        <v>2018</v>
      </c>
      <c r="B18" s="13">
        <v>486.81</v>
      </c>
      <c r="C18" s="13">
        <v>101.2</v>
      </c>
      <c r="G18" s="22" t="s">
        <v>70</v>
      </c>
      <c r="H18" s="22">
        <v>0.20276418898240367</v>
      </c>
      <c r="I18" s="22">
        <v>1.5232193435645563E-2</v>
      </c>
      <c r="J18" s="22">
        <v>13.311555544450071</v>
      </c>
      <c r="K18" s="22">
        <v>9.6899808457341102E-7</v>
      </c>
      <c r="L18" s="22">
        <v>0.16763868793157524</v>
      </c>
      <c r="M18" s="22">
        <v>0.2378896900332321</v>
      </c>
      <c r="N18" s="22">
        <v>0.16763868793157524</v>
      </c>
      <c r="O18" s="22">
        <v>0.2378896900332321</v>
      </c>
    </row>
    <row r="19" spans="1:15" ht="15.75" thickBot="1" x14ac:dyDescent="0.3">
      <c r="A19" s="11">
        <v>2019</v>
      </c>
      <c r="B19" s="13">
        <v>496.69</v>
      </c>
      <c r="C19" s="13">
        <v>106.8</v>
      </c>
    </row>
    <row r="20" spans="1:15" ht="15.75" thickBot="1" x14ac:dyDescent="0.3">
      <c r="A20" s="11">
        <v>2020</v>
      </c>
      <c r="B20" s="13">
        <v>533</v>
      </c>
      <c r="C20" s="13">
        <v>111.3</v>
      </c>
    </row>
    <row r="21" spans="1:15" ht="15.75" thickBot="1" x14ac:dyDescent="0.3">
      <c r="A21" s="11">
        <v>2021</v>
      </c>
      <c r="B21" s="13">
        <v>598.29999999999995</v>
      </c>
      <c r="C21" s="13">
        <v>119.02</v>
      </c>
    </row>
    <row r="22" spans="1:15" ht="15.75" thickBot="1" x14ac:dyDescent="0.3">
      <c r="A22" s="11">
        <v>2022</v>
      </c>
      <c r="B22" s="13">
        <v>654.1</v>
      </c>
      <c r="C22" s="13">
        <v>134.19999999999999</v>
      </c>
    </row>
    <row r="23" spans="1:15" ht="15.75" thickBot="1" x14ac:dyDescent="0.3">
      <c r="A23" s="11">
        <v>2023</v>
      </c>
      <c r="B23" s="13">
        <v>682.9</v>
      </c>
      <c r="C23" s="13">
        <v>146.5</v>
      </c>
    </row>
    <row r="24" spans="1:15" ht="15.75" thickBot="1" x14ac:dyDescent="0.3">
      <c r="A24" s="11">
        <v>2024</v>
      </c>
      <c r="B24" s="13">
        <v>711.2</v>
      </c>
      <c r="C24" s="13">
        <v>155.1</v>
      </c>
    </row>
    <row r="25" spans="1:15" ht="15.75" thickBot="1" x14ac:dyDescent="0.3">
      <c r="A25" s="11">
        <v>2025</v>
      </c>
      <c r="B25" s="13">
        <v>739.4</v>
      </c>
      <c r="C25" s="13">
        <v>162.80000000000001</v>
      </c>
    </row>
    <row r="29" spans="1:15" ht="30" x14ac:dyDescent="0.25">
      <c r="A29" s="20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IRLANDA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2015-06-05T18:19:34Z</dcterms:created>
  <dcterms:modified xsi:type="dcterms:W3CDTF">2026-05-09T03:10:54Z</dcterms:modified>
</cp:coreProperties>
</file>