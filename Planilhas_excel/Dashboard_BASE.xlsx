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"/>
    </mc:Choice>
  </mc:AlternateContent>
  <xr:revisionPtr revIDLastSave="0" documentId="13_ncr:1_{99685D60-1363-45A9-838F-3161A6BA35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9" i="1" l="1"/>
  <c r="I30" i="1"/>
  <c r="I31" i="1"/>
  <c r="I32" i="1"/>
  <c r="I33" i="1"/>
  <c r="I34" i="1"/>
  <c r="I35" i="1"/>
  <c r="I36" i="1"/>
  <c r="I28" i="1"/>
  <c r="H29" i="1"/>
  <c r="H30" i="1"/>
  <c r="H31" i="1"/>
  <c r="H32" i="1"/>
  <c r="H33" i="1"/>
  <c r="H34" i="1"/>
  <c r="H35" i="1"/>
  <c r="H36" i="1"/>
  <c r="H28" i="1"/>
  <c r="F29" i="1"/>
  <c r="F30" i="1"/>
  <c r="F31" i="1"/>
  <c r="F32" i="1"/>
  <c r="F33" i="1"/>
  <c r="F34" i="1"/>
  <c r="F35" i="1"/>
  <c r="F36" i="1"/>
  <c r="F37" i="1"/>
  <c r="F28" i="1"/>
  <c r="H16" i="1"/>
  <c r="H17" i="1"/>
  <c r="H18" i="1"/>
  <c r="H19" i="1"/>
  <c r="H20" i="1"/>
  <c r="H21" i="1"/>
  <c r="H22" i="1"/>
  <c r="H23" i="1"/>
  <c r="H24" i="1"/>
  <c r="H25" i="1"/>
  <c r="H15" i="1"/>
  <c r="F16" i="1"/>
  <c r="F17" i="1"/>
  <c r="F18" i="1"/>
  <c r="F19" i="1"/>
  <c r="F20" i="1"/>
  <c r="F21" i="1"/>
  <c r="F22" i="1"/>
  <c r="F23" i="1"/>
  <c r="F24" i="1"/>
  <c r="F25" i="1"/>
  <c r="F15" i="1"/>
  <c r="H3" i="1"/>
  <c r="H4" i="1"/>
  <c r="H5" i="1"/>
  <c r="H6" i="1"/>
  <c r="H8" i="1"/>
  <c r="H9" i="1"/>
  <c r="H10" i="1"/>
  <c r="H11" i="1"/>
  <c r="H12" i="1"/>
  <c r="H2" i="1"/>
  <c r="F3" i="1"/>
  <c r="F4" i="1"/>
  <c r="F5" i="1"/>
  <c r="F6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<sst xmlns="http://schemas.openxmlformats.org/spreadsheetml/2006/main" count="67" uniqueCount="21">
  <si>
    <t>Ano</t>
  </si>
  <si>
    <t>PIB</t>
  </si>
  <si>
    <t>-</t>
  </si>
  <si>
    <t>Receita Real</t>
  </si>
  <si>
    <t>Despesa Real</t>
  </si>
  <si>
    <t>IPCA Acumulado (Fator Exato)</t>
  </si>
  <si>
    <t>Município</t>
  </si>
  <si>
    <t>Lábrea/AM</t>
  </si>
  <si>
    <t>Resultado real</t>
  </si>
  <si>
    <t>Receita Própria Real(Receita Tributária/ITCM)</t>
  </si>
  <si>
    <t>Autonomia</t>
  </si>
  <si>
    <t>Eirunepé/AM</t>
  </si>
  <si>
    <t>País</t>
  </si>
  <si>
    <t>Irlanda</t>
  </si>
  <si>
    <t>PIB (Em Bilhões de €)</t>
  </si>
  <si>
    <t>Receita Real(Em Bilhões de €)</t>
  </si>
  <si>
    <t>Despesa Real(Em Bilhões de €)</t>
  </si>
  <si>
    <t>Resultado real(Em Bilhões de €)</t>
  </si>
  <si>
    <t>Carga tributária da Irlanda — % do PIB</t>
  </si>
  <si>
    <t>Sem dado consolidado</t>
  </si>
  <si>
    <t>Receita Própria Real(Receita Tributária/ITCM)(Em Bilhões de 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</si>
</sst>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\R\$\ #,##0.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164" fontId="2" fillId="2" borderId="1" xfId="0" applyNumberFormat="1" applyFont="1" applyFill="1" applyBorder="1"/>
    <xf numFmtId="0" fontId="2" fillId="2" borderId="1" xfId="0" applyNumberFormat="1" applyFont="1" applyFill="1" applyBorder="1"/>
    <xf numFmtId="8" fontId="0" fillId="0" borderId="0" xfId="0" applyNumberFormat="1"/>
    <xf numFmtId="0" fontId="0" fillId="0" borderId="1" xfId="0" applyBorder="1"/>
    <xf numFmtId="10" fontId="2" fillId="2" borderId="1" xfId="2" applyNumberFormat="1" applyFont="1" applyFill="1" applyBorder="1"/>
    <xf numFmtId="0" fontId="0" fillId="0" borderId="0" xfId="0" applyFill="1" applyBorder="1"/>
    <xf numFmtId="164" fontId="2" fillId="0" borderId="2" xfId="0" applyNumberFormat="1" applyFont="1" applyBorder="1"/>
    <xf numFmtId="10" fontId="0" fillId="0" borderId="1" xfId="2" applyNumberFormat="1" applyFont="1" applyBorder="1"/>
    <xf numFmtId="2" fontId="0" fillId="0" borderId="1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K12" sqref="K12"/>
    </sheetView>
  </sheetViews>
  <sheetFormatPr defaultRowHeight="15"/>
  <cols>
    <col min="1" max="1" width="12.85546875" bestFit="1" customWidth="1"/>
    <col min="2" max="2" width="5.5703125" bestFit="1" customWidth="1"/>
    <col min="3" max="3" width="22" bestFit="1" customWidth="1"/>
    <col min="4" max="4" width="30.42578125" bestFit="1" customWidth="1"/>
    <col min="5" max="5" width="31.7109375" bestFit="1" customWidth="1"/>
    <col min="6" max="6" width="31.85546875" bestFit="1" customWidth="1"/>
    <col min="7" max="7" width="44.7109375" bestFit="1" customWidth="1"/>
    <col min="8" max="8" width="26.140625" customWidth="1"/>
    <col min="9" max="9" width="30.140625" bestFit="1" customWidth="1"/>
    <col min="10" max="11" width="18" bestFit="1" customWidth="1"/>
  </cols>
  <sheetData>
    <row r="1" spans="1:11">
      <c r="A1" s="5" t="s">
        <v>6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8</v>
      </c>
      <c r="G1" s="2" t="s">
        <v>9</v>
      </c>
      <c r="H1" s="2" t="s">
        <v>10</v>
      </c>
      <c r="I1" s="2" t="s">
        <v>5</v>
      </c>
    </row>
    <row r="2" spans="1:11">
      <c r="A2" s="5" t="s">
        <v>7</v>
      </c>
      <c r="B2" s="3">
        <v>2014</v>
      </c>
      <c r="C2" s="2">
        <v>685071504.89400005</v>
      </c>
      <c r="D2" s="2">
        <v>107688979.28769501</v>
      </c>
      <c r="E2" s="2">
        <v>120048796.37991501</v>
      </c>
      <c r="F2" s="2">
        <f>D2-E2</f>
        <v>-12359817.092220008</v>
      </c>
      <c r="G2" s="2">
        <v>3511057.5347200003</v>
      </c>
      <c r="H2" s="6">
        <f>G2/D2</f>
        <v>3.2603684777623189E-2</v>
      </c>
      <c r="I2" s="3">
        <v>1.8587</v>
      </c>
      <c r="J2" s="1"/>
      <c r="K2" s="1"/>
    </row>
    <row r="3" spans="1:11">
      <c r="A3" s="5" t="s">
        <v>7</v>
      </c>
      <c r="B3" s="3">
        <v>2015</v>
      </c>
      <c r="C3" s="2">
        <v>674290522.93499994</v>
      </c>
      <c r="D3" s="2">
        <v>119908285.39630198</v>
      </c>
      <c r="E3" s="2">
        <v>102090608.674941</v>
      </c>
      <c r="F3" s="2">
        <f t="shared" ref="F3:F12" si="0">D3-E3</f>
        <v>17817676.721360981</v>
      </c>
      <c r="G3" s="2">
        <v>3615648.4724429995</v>
      </c>
      <c r="H3" s="6">
        <f t="shared" ref="H3:H12" si="1">G3/D3</f>
        <v>3.0153449867898013E-2</v>
      </c>
      <c r="I3" s="3">
        <v>1.7246999999999999</v>
      </c>
      <c r="J3" s="1"/>
      <c r="K3" s="1"/>
    </row>
    <row r="4" spans="1:11">
      <c r="A4" s="5" t="s">
        <v>7</v>
      </c>
      <c r="B4" s="3">
        <v>2016</v>
      </c>
      <c r="C4" s="2">
        <v>728663188.73600006</v>
      </c>
      <c r="D4" s="2">
        <v>119539573.305516</v>
      </c>
      <c r="E4" s="2">
        <v>110498214.00881201</v>
      </c>
      <c r="F4" s="2">
        <f t="shared" si="0"/>
        <v>9041359.2967039943</v>
      </c>
      <c r="G4" s="2">
        <v>3947788.7531319996</v>
      </c>
      <c r="H4" s="6">
        <f t="shared" si="1"/>
        <v>3.3024952691125542E-2</v>
      </c>
      <c r="I4" s="3">
        <v>1.6226</v>
      </c>
      <c r="J4" s="1"/>
      <c r="K4" s="1"/>
    </row>
    <row r="5" spans="1:11">
      <c r="A5" s="5" t="s">
        <v>7</v>
      </c>
      <c r="B5" s="3">
        <v>2017</v>
      </c>
      <c r="C5" s="2">
        <v>781347020.07099998</v>
      </c>
      <c r="D5" s="2">
        <v>133020094.84358601</v>
      </c>
      <c r="E5" s="2">
        <v>124212602.07742001</v>
      </c>
      <c r="F5" s="2">
        <f t="shared" si="0"/>
        <v>8807492.7661660016</v>
      </c>
      <c r="G5" s="2">
        <v>4714246.9880480003</v>
      </c>
      <c r="H5" s="6">
        <f t="shared" si="1"/>
        <v>3.544011146279312E-2</v>
      </c>
      <c r="I5" s="3">
        <v>1.5761000000000001</v>
      </c>
      <c r="J5" s="1"/>
      <c r="K5" s="1"/>
    </row>
    <row r="6" spans="1:11">
      <c r="A6" s="5" t="s">
        <v>7</v>
      </c>
      <c r="B6" s="3">
        <v>2018</v>
      </c>
      <c r="C6" s="2">
        <v>750010067.19099998</v>
      </c>
      <c r="D6" s="2">
        <v>137600897.843079</v>
      </c>
      <c r="E6" s="2">
        <v>114534006.23878399</v>
      </c>
      <c r="F6" s="2">
        <f t="shared" si="0"/>
        <v>23066891.604295015</v>
      </c>
      <c r="G6" s="2">
        <v>10633.699999999999</v>
      </c>
      <c r="H6" s="6">
        <f t="shared" si="1"/>
        <v>7.7279292262516654E-5</v>
      </c>
      <c r="I6" s="3">
        <v>1.5190999999999999</v>
      </c>
      <c r="J6" s="1"/>
      <c r="K6" s="1"/>
    </row>
    <row r="7" spans="1:11">
      <c r="A7" s="5" t="s">
        <v>7</v>
      </c>
      <c r="B7" s="3">
        <v>2019</v>
      </c>
      <c r="C7" s="2">
        <v>728870511.99599993</v>
      </c>
      <c r="D7" s="2" t="s">
        <v>2</v>
      </c>
      <c r="E7" s="2" t="s">
        <v>2</v>
      </c>
      <c r="F7" s="2">
        <v>0</v>
      </c>
      <c r="G7" s="2" t="s">
        <v>2</v>
      </c>
      <c r="H7" s="6" t="s">
        <v>2</v>
      </c>
      <c r="I7" s="3">
        <v>1.4563999999999999</v>
      </c>
      <c r="J7" s="1"/>
      <c r="K7" s="1"/>
    </row>
    <row r="8" spans="1:11">
      <c r="A8" s="5" t="s">
        <v>7</v>
      </c>
      <c r="B8" s="3">
        <v>2020</v>
      </c>
      <c r="C8" s="2">
        <v>775102103.38399994</v>
      </c>
      <c r="D8" s="2">
        <v>182420052.63411799</v>
      </c>
      <c r="E8" s="2">
        <v>165995793.87628201</v>
      </c>
      <c r="F8" s="2">
        <f t="shared" si="0"/>
        <v>16424258.757835984</v>
      </c>
      <c r="G8" s="2">
        <v>6794078.5583759993</v>
      </c>
      <c r="H8" s="6">
        <f t="shared" si="1"/>
        <v>3.7244143175437852E-2</v>
      </c>
      <c r="I8" s="3">
        <v>1.3934</v>
      </c>
      <c r="J8" s="1"/>
      <c r="K8" s="1"/>
    </row>
    <row r="9" spans="1:11">
      <c r="A9" s="5" t="s">
        <v>7</v>
      </c>
      <c r="B9" s="3">
        <v>2021</v>
      </c>
      <c r="C9" s="2">
        <v>790937711.47799993</v>
      </c>
      <c r="D9" s="2">
        <v>206016720.105306</v>
      </c>
      <c r="E9" s="2">
        <v>183745862.52401698</v>
      </c>
      <c r="F9" s="2">
        <f t="shared" si="0"/>
        <v>22270857.581289023</v>
      </c>
      <c r="G9" s="2">
        <v>7537822.5581999989</v>
      </c>
      <c r="H9" s="6">
        <f t="shared" si="1"/>
        <v>3.6588401923625523E-2</v>
      </c>
      <c r="I9" s="3">
        <v>1.2650999999999999</v>
      </c>
      <c r="J9" s="1"/>
      <c r="K9" s="1"/>
    </row>
    <row r="10" spans="1:11">
      <c r="A10" s="5" t="s">
        <v>7</v>
      </c>
      <c r="B10" s="3">
        <v>2022</v>
      </c>
      <c r="C10" s="2">
        <v>795802506.36500001</v>
      </c>
      <c r="D10" s="2">
        <v>222237036.773339</v>
      </c>
      <c r="E10" s="2">
        <v>212574437.34286699</v>
      </c>
      <c r="F10" s="2">
        <f t="shared" si="0"/>
        <v>9662599.4304720163</v>
      </c>
      <c r="G10" s="2">
        <v>9570593.4619219992</v>
      </c>
      <c r="H10" s="6">
        <f t="shared" si="1"/>
        <v>4.3064799643108588E-2</v>
      </c>
      <c r="I10" s="3">
        <v>1.1959</v>
      </c>
      <c r="J10" s="1"/>
      <c r="K10" s="1"/>
    </row>
    <row r="11" spans="1:11">
      <c r="A11" s="5" t="s">
        <v>7</v>
      </c>
      <c r="B11" s="3">
        <v>2023</v>
      </c>
      <c r="C11" s="2">
        <v>849154242.09000003</v>
      </c>
      <c r="D11" s="2">
        <v>238987186.78058401</v>
      </c>
      <c r="E11" s="2">
        <v>217695400.67711699</v>
      </c>
      <c r="F11" s="2">
        <f t="shared" si="0"/>
        <v>21291786.103467017</v>
      </c>
      <c r="G11" s="2">
        <v>8097275.156432</v>
      </c>
      <c r="H11" s="6">
        <f t="shared" si="1"/>
        <v>3.3881628825005464E-2</v>
      </c>
      <c r="I11" s="3">
        <v>1.1429</v>
      </c>
      <c r="J11" s="1"/>
      <c r="K11" s="1"/>
    </row>
    <row r="12" spans="1:11">
      <c r="A12" s="5" t="s">
        <v>7</v>
      </c>
      <c r="B12" s="3">
        <v>2024</v>
      </c>
      <c r="C12" s="2" t="s">
        <v>2</v>
      </c>
      <c r="D12" s="2">
        <v>103540289.40000001</v>
      </c>
      <c r="E12" s="2">
        <v>98601575.040000007</v>
      </c>
      <c r="F12" s="2">
        <f t="shared" si="0"/>
        <v>4938714.3599999994</v>
      </c>
      <c r="G12" s="2">
        <v>2739574.98</v>
      </c>
      <c r="H12" s="6">
        <f t="shared" si="1"/>
        <v>2.645902378557578E-2</v>
      </c>
      <c r="I12" s="3">
        <v>1</v>
      </c>
      <c r="J12" s="1"/>
      <c r="K12" s="1"/>
    </row>
    <row r="14" spans="1:11">
      <c r="A14" s="5" t="s">
        <v>6</v>
      </c>
      <c r="B14" s="2" t="s">
        <v>0</v>
      </c>
      <c r="C14" s="2" t="s">
        <v>1</v>
      </c>
      <c r="D14" s="2" t="s">
        <v>3</v>
      </c>
      <c r="E14" s="2" t="s">
        <v>4</v>
      </c>
      <c r="F14" s="2" t="s">
        <v>8</v>
      </c>
      <c r="G14" s="2" t="s">
        <v>9</v>
      </c>
      <c r="H14" s="2" t="s">
        <v>10</v>
      </c>
      <c r="I14" s="2" t="s">
        <v>5</v>
      </c>
    </row>
    <row r="15" spans="1:11">
      <c r="A15" s="7" t="s">
        <v>11</v>
      </c>
      <c r="B15" s="3">
        <v>2014</v>
      </c>
      <c r="C15" s="2">
        <v>711603573.80500007</v>
      </c>
      <c r="D15" s="2">
        <v>107688979.28769501</v>
      </c>
      <c r="E15" s="2">
        <v>90275362.415813997</v>
      </c>
      <c r="F15" s="2">
        <f>D15-E15</f>
        <v>17413616.871881008</v>
      </c>
      <c r="G15" s="2">
        <v>1229859.52</v>
      </c>
      <c r="H15" s="6">
        <f>G15/D15</f>
        <v>1.1420477082565578E-2</v>
      </c>
      <c r="I15" s="3">
        <v>1.8587</v>
      </c>
    </row>
    <row r="16" spans="1:11">
      <c r="A16" s="7" t="s">
        <v>11</v>
      </c>
      <c r="B16" s="3">
        <v>2015</v>
      </c>
      <c r="C16" s="2">
        <v>695399384.93999994</v>
      </c>
      <c r="D16" s="2">
        <v>99134904.343140006</v>
      </c>
      <c r="E16" s="2">
        <v>74237208.115196988</v>
      </c>
      <c r="F16" s="2">
        <f t="shared" ref="F16:F25" si="2">D16-E16</f>
        <v>24897696.227943018</v>
      </c>
      <c r="G16" s="2">
        <v>997823.52</v>
      </c>
      <c r="H16" s="6">
        <f t="shared" ref="H16:H25" si="3">G16/D16</f>
        <v>1.0065309757562176E-2</v>
      </c>
      <c r="I16" s="3">
        <v>1.7246999999999999</v>
      </c>
    </row>
    <row r="17" spans="1:9">
      <c r="A17" s="7" t="s">
        <v>11</v>
      </c>
      <c r="B17" s="3">
        <v>2016</v>
      </c>
      <c r="C17" s="2">
        <v>645838399.26199996</v>
      </c>
      <c r="D17" s="2">
        <v>96759329.350096002</v>
      </c>
      <c r="E17" s="2">
        <v>56872715.450306006</v>
      </c>
      <c r="F17" s="2">
        <f t="shared" si="2"/>
        <v>39886613.899789996</v>
      </c>
      <c r="G17" s="2">
        <v>785170.38</v>
      </c>
      <c r="H17" s="6">
        <f t="shared" si="3"/>
        <v>8.1146736472209845E-3</v>
      </c>
      <c r="I17" s="3">
        <v>1.6226</v>
      </c>
    </row>
    <row r="18" spans="1:9">
      <c r="A18" s="7" t="s">
        <v>11</v>
      </c>
      <c r="B18" s="3">
        <v>2017</v>
      </c>
      <c r="C18" s="2">
        <v>684036840.83899999</v>
      </c>
      <c r="D18" s="2">
        <v>105448870.73287001</v>
      </c>
      <c r="E18" s="2">
        <v>96406658.37747401</v>
      </c>
      <c r="F18" s="2">
        <f t="shared" si="2"/>
        <v>9042212.3553960025</v>
      </c>
      <c r="G18" s="2">
        <v>1154661.6299999999</v>
      </c>
      <c r="H18" s="6">
        <f t="shared" si="3"/>
        <v>1.0949966765647632E-2</v>
      </c>
      <c r="I18" s="3">
        <v>1.5761000000000001</v>
      </c>
    </row>
    <row r="19" spans="1:9">
      <c r="A19" s="7" t="s">
        <v>11</v>
      </c>
      <c r="B19" s="3">
        <v>2018</v>
      </c>
      <c r="C19" s="2">
        <v>787222594.00399995</v>
      </c>
      <c r="D19" s="2">
        <v>127321219.009094</v>
      </c>
      <c r="E19" s="2">
        <v>129882220.00933298</v>
      </c>
      <c r="F19" s="2">
        <f t="shared" si="2"/>
        <v>-2561001.0002389848</v>
      </c>
      <c r="G19" s="2">
        <v>2381736.2400000002</v>
      </c>
      <c r="H19" s="6">
        <f t="shared" si="3"/>
        <v>1.8706514582065722E-2</v>
      </c>
      <c r="I19" s="3">
        <v>1.5190999999999999</v>
      </c>
    </row>
    <row r="20" spans="1:9">
      <c r="A20" s="7" t="s">
        <v>11</v>
      </c>
      <c r="B20" s="3">
        <v>2019</v>
      </c>
      <c r="C20" s="2">
        <v>697344680.472</v>
      </c>
      <c r="D20" s="2">
        <v>132718282.96808399</v>
      </c>
      <c r="E20" s="2">
        <v>122213146.017776</v>
      </c>
      <c r="F20" s="2">
        <f t="shared" si="2"/>
        <v>10505136.950307995</v>
      </c>
      <c r="G20" s="2">
        <v>1917798.84</v>
      </c>
      <c r="H20" s="6">
        <f t="shared" si="3"/>
        <v>1.4450148066345848E-2</v>
      </c>
      <c r="I20" s="3">
        <v>1.4563999999999999</v>
      </c>
    </row>
    <row r="21" spans="1:9">
      <c r="A21" s="7" t="s">
        <v>11</v>
      </c>
      <c r="B21" s="3">
        <v>2020</v>
      </c>
      <c r="C21" s="2">
        <v>700857877.73199999</v>
      </c>
      <c r="D21" s="2">
        <v>151042324.596248</v>
      </c>
      <c r="E21" s="2">
        <v>145674056.354664</v>
      </c>
      <c r="F21" s="2">
        <f t="shared" si="2"/>
        <v>5368268.241584003</v>
      </c>
      <c r="G21" s="2">
        <v>2321119.2999999998</v>
      </c>
      <c r="H21" s="6">
        <f t="shared" si="3"/>
        <v>1.5367343598587982E-2</v>
      </c>
      <c r="I21" s="3">
        <v>1.3934</v>
      </c>
    </row>
    <row r="22" spans="1:9">
      <c r="A22" s="7" t="s">
        <v>11</v>
      </c>
      <c r="B22" s="3">
        <v>2021</v>
      </c>
      <c r="C22" s="2">
        <v>718622432.15699995</v>
      </c>
      <c r="D22" s="2">
        <v>167932746.946365</v>
      </c>
      <c r="E22" s="2">
        <v>159122129.80959597</v>
      </c>
      <c r="F22" s="2">
        <f t="shared" si="2"/>
        <v>8810617.1367690265</v>
      </c>
      <c r="G22" s="2">
        <v>3069955.26</v>
      </c>
      <c r="H22" s="6">
        <f t="shared" si="3"/>
        <v>1.8280861331831211E-2</v>
      </c>
      <c r="I22" s="3">
        <v>1.2650999999999999</v>
      </c>
    </row>
    <row r="23" spans="1:9">
      <c r="A23" s="7" t="s">
        <v>11</v>
      </c>
      <c r="B23" s="3">
        <v>2022</v>
      </c>
      <c r="C23" s="2">
        <v>692118095.95499992</v>
      </c>
      <c r="D23" s="2">
        <v>195333940.48663998</v>
      </c>
      <c r="E23" s="2">
        <v>192334857.98201498</v>
      </c>
      <c r="F23" s="2">
        <f t="shared" si="2"/>
        <v>2999082.5046249926</v>
      </c>
      <c r="G23" s="2">
        <v>5344479.6900000004</v>
      </c>
      <c r="H23" s="6">
        <f t="shared" si="3"/>
        <v>2.7360732480413666E-2</v>
      </c>
      <c r="I23" s="3">
        <v>1.1959</v>
      </c>
    </row>
    <row r="24" spans="1:9">
      <c r="A24" s="7" t="s">
        <v>11</v>
      </c>
      <c r="B24" s="3">
        <v>2023</v>
      </c>
      <c r="C24" s="2">
        <v>781332338.86399996</v>
      </c>
      <c r="D24" s="2">
        <v>219323925.99595499</v>
      </c>
      <c r="E24" s="2">
        <v>209056393.37792003</v>
      </c>
      <c r="F24" s="2">
        <f t="shared" si="2"/>
        <v>10267532.618034959</v>
      </c>
      <c r="G24" s="2">
        <v>5888775.5599999996</v>
      </c>
      <c r="H24" s="6">
        <f t="shared" si="3"/>
        <v>2.6849672388723368E-2</v>
      </c>
      <c r="I24" s="3">
        <v>1.1429</v>
      </c>
    </row>
    <row r="25" spans="1:9">
      <c r="A25" s="7" t="s">
        <v>11</v>
      </c>
      <c r="B25" s="3">
        <v>2024</v>
      </c>
      <c r="C25" s="4" t="s">
        <v>2</v>
      </c>
      <c r="D25" s="2">
        <v>196960631.72999999</v>
      </c>
      <c r="E25" s="2">
        <v>192107576.69</v>
      </c>
      <c r="F25" s="2">
        <f t="shared" si="2"/>
        <v>4853055.0399999917</v>
      </c>
      <c r="G25" s="2">
        <v>5961105.3899999997</v>
      </c>
      <c r="H25" s="6">
        <f t="shared" si="3"/>
        <v>3.0265466441901322E-2</v>
      </c>
      <c r="I25" s="3">
        <v>1</v>
      </c>
    </row>
    <row r="26" spans="1:9">
      <c r="G26" s="8"/>
    </row>
    <row r="27" spans="1:9">
      <c r="A27" s="5" t="s">
        <v>12</v>
      </c>
      <c r="B27" s="2" t="s">
        <v>0</v>
      </c>
      <c r="C27" s="2" t="s">
        <v>14</v>
      </c>
      <c r="D27" s="2" t="s">
        <v>15</v>
      </c>
      <c r="E27" s="2" t="s">
        <v>16</v>
      </c>
      <c r="F27" s="2" t="s">
        <v>17</v>
      </c>
      <c r="G27" s="2" t="s">
        <v>18</v>
      </c>
      <c r="H27" s="2" t="s">
        <v>20</v>
      </c>
      <c r="I27" s="2" t="s">
        <v>10</v>
      </c>
    </row>
    <row r="28" spans="1:9">
      <c r="A28" s="5" t="s">
        <v>13</v>
      </c>
      <c r="B28" s="3">
        <v>2016</v>
      </c>
      <c r="C28" s="5">
        <v>255.56</v>
      </c>
      <c r="D28" s="5">
        <v>91.53540000000001</v>
      </c>
      <c r="E28" s="5">
        <v>94.143599999999992</v>
      </c>
      <c r="F28" s="5">
        <f>D28-E28</f>
        <v>-2.6081999999999823</v>
      </c>
      <c r="G28" s="9">
        <v>0.23</v>
      </c>
      <c r="H28" s="5">
        <f>G28*C28</f>
        <v>58.778800000000004</v>
      </c>
      <c r="I28" s="5">
        <f>H28/D28</f>
        <v>0.64214282124729882</v>
      </c>
    </row>
    <row r="29" spans="1:9">
      <c r="A29" s="5" t="s">
        <v>13</v>
      </c>
      <c r="B29" s="3">
        <v>2017</v>
      </c>
      <c r="C29" s="10">
        <v>379.71666000000005</v>
      </c>
      <c r="D29" s="5">
        <v>95.249000000000009</v>
      </c>
      <c r="E29" s="5">
        <v>96.362299999999991</v>
      </c>
      <c r="F29" s="5">
        <f t="shared" ref="F29:F37" si="4">D29-E29</f>
        <v>-1.1132999999999811</v>
      </c>
      <c r="G29" s="9">
        <v>0.22800000000000001</v>
      </c>
      <c r="H29" s="5">
        <f t="shared" ref="H29:H36" si="5">G29*C29</f>
        <v>86.575398480000018</v>
      </c>
      <c r="I29" s="5">
        <f t="shared" ref="I29:I37" si="6">H29/D29</f>
        <v>0.90893761068357681</v>
      </c>
    </row>
    <row r="30" spans="1:9">
      <c r="A30" s="5" t="s">
        <v>13</v>
      </c>
      <c r="B30" s="3">
        <v>2018</v>
      </c>
      <c r="C30" s="10">
        <v>431.13161000000002</v>
      </c>
      <c r="D30" s="5">
        <v>102.41920000000002</v>
      </c>
      <c r="E30" s="5">
        <v>102.04990000000001</v>
      </c>
      <c r="F30" s="5">
        <f t="shared" si="4"/>
        <v>0.36930000000000973</v>
      </c>
      <c r="G30" s="9">
        <v>0.223</v>
      </c>
      <c r="H30" s="5">
        <f t="shared" si="5"/>
        <v>96.142349030000005</v>
      </c>
      <c r="I30" s="5">
        <f t="shared" si="6"/>
        <v>0.93871411834890317</v>
      </c>
    </row>
    <row r="31" spans="1:9">
      <c r="A31" s="5" t="s">
        <v>13</v>
      </c>
      <c r="B31" s="3">
        <v>2019</v>
      </c>
      <c r="C31" s="10">
        <v>486.81126</v>
      </c>
      <c r="D31" s="5">
        <v>107.726</v>
      </c>
      <c r="E31" s="5">
        <v>105.896</v>
      </c>
      <c r="F31" s="5">
        <f t="shared" si="4"/>
        <v>1.8299999999999983</v>
      </c>
      <c r="G31" s="9">
        <v>0.218</v>
      </c>
      <c r="H31" s="5">
        <f t="shared" si="5"/>
        <v>106.12485468</v>
      </c>
      <c r="I31" s="5">
        <f t="shared" si="6"/>
        <v>0.98513687206431133</v>
      </c>
    </row>
    <row r="32" spans="1:9">
      <c r="A32" s="5" t="s">
        <v>13</v>
      </c>
      <c r="B32" s="3">
        <v>2020</v>
      </c>
      <c r="C32" s="10">
        <v>496.68639999999999</v>
      </c>
      <c r="D32" s="5">
        <v>103.09890000000001</v>
      </c>
      <c r="E32" s="5">
        <v>124.62370000000001</v>
      </c>
      <c r="F32" s="5">
        <f t="shared" si="4"/>
        <v>-21.524799999999999</v>
      </c>
      <c r="G32" s="9">
        <v>0.19400000000000001</v>
      </c>
      <c r="H32" s="5">
        <f t="shared" si="5"/>
        <v>96.357161599999998</v>
      </c>
      <c r="I32" s="5">
        <f t="shared" si="6"/>
        <v>0.93460901716701128</v>
      </c>
    </row>
    <row r="33" spans="1:9">
      <c r="A33" s="5" t="s">
        <v>13</v>
      </c>
      <c r="B33" s="3">
        <v>2021</v>
      </c>
      <c r="C33" s="10">
        <v>533.90065000000004</v>
      </c>
      <c r="D33" s="5">
        <v>119.02200000000002</v>
      </c>
      <c r="E33" s="5">
        <v>126.19199999999999</v>
      </c>
      <c r="F33" s="5">
        <f t="shared" si="4"/>
        <v>-7.1699999999999733</v>
      </c>
      <c r="G33" s="9">
        <v>0.2</v>
      </c>
      <c r="H33" s="5">
        <f t="shared" si="5"/>
        <v>106.78013000000001</v>
      </c>
      <c r="I33" s="5">
        <f t="shared" si="6"/>
        <v>0.89714615785316998</v>
      </c>
    </row>
    <row r="34" spans="1:9">
      <c r="A34" s="5" t="s">
        <v>13</v>
      </c>
      <c r="B34" s="3">
        <v>2022</v>
      </c>
      <c r="C34" s="10">
        <v>634.90350000000001</v>
      </c>
      <c r="D34" s="5">
        <v>125.09520000000001</v>
      </c>
      <c r="E34" s="5">
        <v>119.43929999999999</v>
      </c>
      <c r="F34" s="5">
        <f t="shared" si="4"/>
        <v>5.6559000000000168</v>
      </c>
      <c r="G34" s="9">
        <v>0.20300000000000001</v>
      </c>
      <c r="H34" s="5">
        <f t="shared" si="5"/>
        <v>128.88541050000001</v>
      </c>
      <c r="I34" s="5">
        <f t="shared" si="6"/>
        <v>1.0302986085797057</v>
      </c>
    </row>
    <row r="35" spans="1:9">
      <c r="A35" s="5" t="s">
        <v>13</v>
      </c>
      <c r="B35" s="3">
        <v>2023</v>
      </c>
      <c r="C35" s="10">
        <v>608.36413000000005</v>
      </c>
      <c r="D35" s="5">
        <v>129.12339999999998</v>
      </c>
      <c r="E35" s="5">
        <v>121.61379999999998</v>
      </c>
      <c r="F35" s="5">
        <f t="shared" si="4"/>
        <v>7.5095999999999918</v>
      </c>
      <c r="G35" s="9">
        <v>0.21299999999999999</v>
      </c>
      <c r="H35" s="5">
        <f t="shared" si="5"/>
        <v>129.58155969000001</v>
      </c>
      <c r="I35" s="5">
        <f t="shared" si="6"/>
        <v>1.0035482313043185</v>
      </c>
    </row>
    <row r="36" spans="1:9">
      <c r="A36" s="5" t="s">
        <v>13</v>
      </c>
      <c r="B36" s="3">
        <v>2024</v>
      </c>
      <c r="C36" s="10">
        <v>575.09976999999992</v>
      </c>
      <c r="D36" s="5">
        <v>151.86920000000001</v>
      </c>
      <c r="E36" s="5">
        <v>128.46540000000002</v>
      </c>
      <c r="F36" s="5">
        <f t="shared" si="4"/>
        <v>23.40379999999999</v>
      </c>
      <c r="G36" s="9">
        <v>0.217</v>
      </c>
      <c r="H36" s="5">
        <f t="shared" si="5"/>
        <v>124.79665008999999</v>
      </c>
      <c r="I36" s="5">
        <f t="shared" si="6"/>
        <v>0.82173771962978659</v>
      </c>
    </row>
    <row r="37" spans="1:9">
      <c r="A37" s="5" t="s">
        <v>13</v>
      </c>
      <c r="B37" s="3">
        <v>2025</v>
      </c>
      <c r="C37" s="10">
        <v>590.09258</v>
      </c>
      <c r="D37" s="5">
        <v>149.5</v>
      </c>
      <c r="E37" s="5">
        <v>133.9</v>
      </c>
      <c r="F37" s="5">
        <f t="shared" si="4"/>
        <v>15.599999999999994</v>
      </c>
      <c r="G37" s="5" t="s">
        <v>19</v>
      </c>
      <c r="H37" s="5" t="s">
        <v>2</v>
      </c>
      <c r="I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2015-06-05T18:19:34Z</dcterms:created>
  <dcterms:modified xsi:type="dcterms:W3CDTF">2026-05-08T15:35:39Z</dcterms:modified>
</cp:coreProperties>
</file>