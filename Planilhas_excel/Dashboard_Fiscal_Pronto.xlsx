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amazonas_receitas\"/>
    </mc:Choice>
  </mc:AlternateContent>
  <xr:revisionPtr revIDLastSave="0" documentId="13_ncr:1_{F73AB8DD-02C1-4356-9291-12F3392891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2" r:id="rId1"/>
    <sheet name="Base_Limpa" sheetId="1" r:id="rId2"/>
    <sheet name="Comparativo" sheetId="3" r:id="rId3"/>
    <sheet name="Apo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3" l="1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G66" i="2"/>
  <c r="F66" i="2"/>
  <c r="E66" i="2"/>
  <c r="L66" i="2" s="1"/>
  <c r="D66" i="2"/>
  <c r="C66" i="2"/>
  <c r="B66" i="2"/>
  <c r="G65" i="2"/>
  <c r="J9" i="2" s="1"/>
  <c r="F65" i="2"/>
  <c r="E65" i="2"/>
  <c r="J8" i="2" s="1"/>
  <c r="D65" i="2"/>
  <c r="C65" i="2"/>
  <c r="I65" i="2" s="1"/>
  <c r="P65" i="2" s="1"/>
  <c r="B65" i="2"/>
  <c r="H65" i="2" s="1"/>
  <c r="O65" i="2" s="1"/>
  <c r="G64" i="2"/>
  <c r="F64" i="2"/>
  <c r="E64" i="2"/>
  <c r="L64" i="2" s="1"/>
  <c r="D64" i="2"/>
  <c r="C64" i="2"/>
  <c r="B64" i="2"/>
  <c r="G63" i="2"/>
  <c r="F63" i="2"/>
  <c r="E63" i="2"/>
  <c r="L63" i="2" s="1"/>
  <c r="D63" i="2"/>
  <c r="C63" i="2"/>
  <c r="I63" i="2" s="1"/>
  <c r="P63" i="2" s="1"/>
  <c r="B63" i="2"/>
  <c r="H63" i="2" s="1"/>
  <c r="O63" i="2" s="1"/>
  <c r="G62" i="2"/>
  <c r="F62" i="2"/>
  <c r="E62" i="2"/>
  <c r="L62" i="2" s="1"/>
  <c r="D62" i="2"/>
  <c r="C62" i="2"/>
  <c r="B62" i="2"/>
  <c r="G61" i="2"/>
  <c r="F61" i="2"/>
  <c r="E61" i="2"/>
  <c r="L61" i="2" s="1"/>
  <c r="D61" i="2"/>
  <c r="C61" i="2"/>
  <c r="I61" i="2" s="1"/>
  <c r="P61" i="2" s="1"/>
  <c r="B61" i="2"/>
  <c r="H61" i="2" s="1"/>
  <c r="O61" i="2" s="1"/>
  <c r="G60" i="2"/>
  <c r="F60" i="2"/>
  <c r="E60" i="2"/>
  <c r="L60" i="2" s="1"/>
  <c r="D60" i="2"/>
  <c r="C60" i="2"/>
  <c r="B60" i="2"/>
  <c r="G59" i="2"/>
  <c r="F59" i="2"/>
  <c r="E59" i="2"/>
  <c r="L59" i="2" s="1"/>
  <c r="D59" i="2"/>
  <c r="C59" i="2"/>
  <c r="B59" i="2"/>
  <c r="H59" i="2" s="1"/>
  <c r="O59" i="2" s="1"/>
  <c r="G58" i="2"/>
  <c r="F58" i="2"/>
  <c r="E58" i="2"/>
  <c r="L58" i="2" s="1"/>
  <c r="D58" i="2"/>
  <c r="C58" i="2"/>
  <c r="B58" i="2"/>
  <c r="G57" i="2"/>
  <c r="F57" i="2"/>
  <c r="E57" i="2"/>
  <c r="L57" i="2" s="1"/>
  <c r="D57" i="2"/>
  <c r="C57" i="2"/>
  <c r="B57" i="2"/>
  <c r="H57" i="2" s="1"/>
  <c r="O57" i="2" s="1"/>
  <c r="G56" i="2"/>
  <c r="F56" i="2"/>
  <c r="E56" i="2"/>
  <c r="L56" i="2" s="1"/>
  <c r="D56" i="2"/>
  <c r="C56" i="2"/>
  <c r="B56" i="2"/>
  <c r="G55" i="2"/>
  <c r="F55" i="2"/>
  <c r="E55" i="2"/>
  <c r="L55" i="2" s="1"/>
  <c r="D55" i="2"/>
  <c r="C55" i="2"/>
  <c r="B55" i="2"/>
  <c r="G8" i="2"/>
  <c r="D8" i="2" l="1"/>
  <c r="D9" i="2"/>
  <c r="I57" i="2"/>
  <c r="P57" i="2" s="1"/>
  <c r="I59" i="2"/>
  <c r="P59" i="2" s="1"/>
  <c r="A8" i="2"/>
  <c r="H58" i="2"/>
  <c r="O58" i="2" s="1"/>
  <c r="H60" i="2"/>
  <c r="O60" i="2" s="1"/>
  <c r="H66" i="2"/>
  <c r="O66" i="2" s="1"/>
  <c r="I58" i="2"/>
  <c r="P58" i="2" s="1"/>
  <c r="I60" i="2"/>
  <c r="P60" i="2" s="1"/>
  <c r="I66" i="2"/>
  <c r="P66" i="2" s="1"/>
  <c r="I56" i="2"/>
  <c r="P56" i="2" s="1"/>
  <c r="H62" i="2"/>
  <c r="O62" i="2" s="1"/>
  <c r="H64" i="2"/>
  <c r="O64" i="2" s="1"/>
  <c r="I62" i="2"/>
  <c r="P62" i="2" s="1"/>
  <c r="I64" i="2"/>
  <c r="L65" i="2"/>
  <c r="I55" i="2"/>
  <c r="P55" i="2" s="1"/>
  <c r="H56" i="2"/>
  <c r="O56" i="2" s="1"/>
  <c r="G9" i="2"/>
  <c r="M9" i="2"/>
  <c r="P64" i="2"/>
  <c r="H55" i="2"/>
  <c r="O55" i="2" s="1"/>
  <c r="A9" i="2"/>
  <c r="M8" i="2" l="1"/>
</calcChain>
</file>

<file path=xl/sharedStrings.xml><?xml version="1.0" encoding="utf-8"?>
<sst xmlns="http://schemas.openxmlformats.org/spreadsheetml/2006/main" count="166" uniqueCount="52">
  <si>
    <t>Local</t>
  </si>
  <si>
    <t>Tipo</t>
  </si>
  <si>
    <t>Ano</t>
  </si>
  <si>
    <t>PIB</t>
  </si>
  <si>
    <t>Receita Real</t>
  </si>
  <si>
    <t>Despesa Real</t>
  </si>
  <si>
    <t>Resultado Real</t>
  </si>
  <si>
    <t>Receita Própria Real</t>
  </si>
  <si>
    <t>Autonomia</t>
  </si>
  <si>
    <t>Carga Tributária</t>
  </si>
  <si>
    <t>IPCA Fator</t>
  </si>
  <si>
    <t>Unidade</t>
  </si>
  <si>
    <t>Observações</t>
  </si>
  <si>
    <t>Lábrea/AM</t>
  </si>
  <si>
    <t>Município</t>
  </si>
  <si>
    <t>R$</t>
  </si>
  <si>
    <t>Receita própria muito baixa; conferir fonte original.</t>
  </si>
  <si>
    <t>Dados de receita/despesa ausentes na base.</t>
  </si>
  <si>
    <t>PIB não informado.</t>
  </si>
  <si>
    <t>Eirunepé/AM</t>
  </si>
  <si>
    <t>Receita real igual à de Lábrea/AM; conferir fonte se necessário.</t>
  </si>
  <si>
    <t>Irlanda</t>
  </si>
  <si>
    <t>País</t>
  </si>
  <si>
    <t>€ bilhões</t>
  </si>
  <si>
    <t>2025 sem dado consolidado de carga tributária/autonomia.</t>
  </si>
  <si>
    <t>Dashboard Fiscal</t>
  </si>
  <si>
    <t>Análise consolidada de finanças públicas: municípios do Amazonas e Irlanda</t>
  </si>
  <si>
    <t>Selecione o local:</t>
  </si>
  <si>
    <t>Receita Total Real</t>
  </si>
  <si>
    <t>Despesa Total Real</t>
  </si>
  <si>
    <t>Autonomia Fiscal</t>
  </si>
  <si>
    <t>Receita / PIB</t>
  </si>
  <si>
    <t>Valores dos municípios exibidos nos cards em R$ milhões; Irlanda em bilhões de €. Para municípios, Receita/PIB usa 2023 quando 2024 não possui PIB.</t>
  </si>
  <si>
    <t>Evolução de Receita e Despesa</t>
  </si>
  <si>
    <t>Autonomia Fiscal / Receita Tributária</t>
  </si>
  <si>
    <t>Receita e Despesa como % do PIB</t>
  </si>
  <si>
    <t>Receita</t>
  </si>
  <si>
    <t>Despesa</t>
  </si>
  <si>
    <t>Resultado</t>
  </si>
  <si>
    <t>Receita Própria</t>
  </si>
  <si>
    <t>Receita/PIB</t>
  </si>
  <si>
    <t>Despesa/PIB</t>
  </si>
  <si>
    <t>Comparativo Fiscal</t>
  </si>
  <si>
    <t>Último ano</t>
  </si>
  <si>
    <t>Nota: Receita/PIB usa o último PIB disponível; para os municípios, 2023, pois 2024 não possui PIB informado.</t>
  </si>
  <si>
    <t>Comparação anual entre municípios</t>
  </si>
  <si>
    <t>Receita Lábrea</t>
  </si>
  <si>
    <t>Receita Eirunepé</t>
  </si>
  <si>
    <t>Despesa Lábrea</t>
  </si>
  <si>
    <t>Despesa Eirunepé</t>
  </si>
  <si>
    <t>Locais</t>
  </si>
  <si>
    <t>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</si>
</sst>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>
    <font>
      <sz val="11"/>
      <name val="Carlito"/>
    </font>
    <font>
      <b/>
      <sz val="11"/>
      <color rgb="FFFFFFFF"/>
      <name val="Carlito"/>
    </font>
    <font>
      <b/>
      <sz val="24"/>
      <color rgb="FF111827"/>
      <name val="Carlito"/>
    </font>
    <font>
      <sz val="11"/>
      <color rgb="FF6B7280"/>
      <name val="Carlito"/>
    </font>
    <font>
      <sz val="11"/>
      <color rgb="FFFFFFFF"/>
      <name val="Carlito"/>
    </font>
    <font>
      <sz val="9"/>
      <color rgb="FF6B7280"/>
      <name val="Carlito"/>
    </font>
    <font>
      <b/>
      <sz val="12"/>
      <color rgb="FF111827"/>
      <name val="Carlito"/>
    </font>
    <font>
      <b/>
      <sz val="22"/>
      <color rgb="FF111827"/>
      <name val="Carlito"/>
    </font>
    <font>
      <b/>
      <sz val="13"/>
      <name val="Carlito"/>
    </font>
    <font>
      <b/>
      <sz val="10"/>
      <color rgb="FF111827"/>
      <name val="Carlito"/>
    </font>
    <font>
      <b/>
      <sz val="18"/>
      <color rgb="FF11182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4" fontId="1" fillId="2" borderId="0" xfId="0" applyNumberFormat="1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/>
    <xf numFmtId="0" fontId="4" fillId="4" borderId="0" xfId="0" applyNumberFormat="1" applyFont="1" applyFill="1" applyBorder="1"/>
    <xf numFmtId="4" fontId="0" fillId="0" borderId="0" xfId="0" applyNumberFormat="1" applyFont="1" applyFill="1" applyBorder="1"/>
    <xf numFmtId="10" fontId="0" fillId="0" borderId="0" xfId="0" applyNumberFormat="1" applyFont="1" applyFill="1" applyBorder="1"/>
    <xf numFmtId="0" fontId="8" fillId="0" borderId="0" xfId="0" applyNumberFormat="1" applyFont="1" applyFill="1" applyBorder="1"/>
    <xf numFmtId="0" fontId="0" fillId="4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 applyAlignment="1">
      <alignment vertical="center" wrapText="1"/>
    </xf>
    <xf numFmtId="0" fontId="6" fillId="5" borderId="0" xfId="0" applyNumberFormat="1" applyFont="1" applyFill="1" applyBorder="1" applyAlignment="1">
      <alignment vertical="center" wrapText="1"/>
    </xf>
    <xf numFmtId="0" fontId="9" fillId="4" borderId="0" xfId="0" applyNumberFormat="1" applyFont="1" applyFill="1" applyBorder="1" applyAlignment="1">
      <alignment horizontal="left" vertical="center" wrapText="1"/>
    </xf>
    <xf numFmtId="0" fontId="0" fillId="4" borderId="0" xfId="0" applyNumberFormat="1" applyFont="1" applyFill="1" applyBorder="1" applyAlignment="1">
      <alignment vertical="center" wrapText="1"/>
    </xf>
    <xf numFmtId="4" fontId="10" fillId="4" borderId="0" xfId="0" applyNumberFormat="1" applyFont="1" applyFill="1" applyBorder="1" applyAlignment="1">
      <alignment horizontal="center" vertical="center"/>
    </xf>
    <xf numFmtId="4" fontId="0" fillId="4" borderId="0" xfId="0" applyNumberFormat="1" applyFont="1" applyFill="1" applyBorder="1" applyAlignment="1">
      <alignment vertical="center" wrapText="1"/>
    </xf>
    <xf numFmtId="10" fontId="5" fillId="4" borderId="0" xfId="0" applyNumberFormat="1" applyFont="1" applyFill="1" applyBorder="1" applyAlignment="1">
      <alignment horizontal="center" vertical="center"/>
    </xf>
    <xf numFmtId="10" fontId="0" fillId="4" borderId="0" xfId="0" applyNumberFormat="1" applyFont="1" applyFill="1" applyBorder="1" applyAlignment="1">
      <alignment vertical="center" wrapText="1"/>
    </xf>
    <xf numFmtId="10" fontId="10" fillId="4" borderId="0" xfId="0" applyNumberFormat="1" applyFont="1" applyFill="1" applyBorder="1" applyAlignment="1">
      <alignment horizontal="center" vertical="center"/>
    </xf>
    <xf numFmtId="4" fontId="5" fillId="4" borderId="0" xfId="0" applyNumberFormat="1" applyFont="1" applyFill="1" applyBorder="1" applyAlignment="1">
      <alignment horizontal="center" vertical="center"/>
    </xf>
    <xf numFmtId="0" fontId="2" fillId="5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 applyAlignment="1">
      <alignment vertical="center" wrapText="1"/>
    </xf>
    <xf numFmtId="0" fontId="3" fillId="5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 applyAlignment="1">
      <alignment horizontal="center" vertical="center" wrapText="1"/>
    </xf>
    <xf numFmtId="0" fontId="5" fillId="5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/>
    <xf numFmtId="0" fontId="0" fillId="0" borderId="0" xfId="0"/>
    <xf numFmtId="0" fontId="5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 x Despesa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Receita</c:v>
          </c:tx>
          <c:cat>
            <c:numRef>
              <c:f>Dashboard!$A$55:$A$66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Dashboard!$B$55:$B$66</c:f>
              <c:numCache>
                <c:formatCode>General</c:formatCode>
                <c:ptCount val="12"/>
                <c:pt idx="0">
                  <c:v>107688979.28769501</c:v>
                </c:pt>
                <c:pt idx="1">
                  <c:v>119908285.39630198</c:v>
                </c:pt>
                <c:pt idx="2">
                  <c:v>119539573.305516</c:v>
                </c:pt>
                <c:pt idx="3">
                  <c:v>133020094.84358601</c:v>
                </c:pt>
                <c:pt idx="4">
                  <c:v>137600897.843079</c:v>
                </c:pt>
                <c:pt idx="5">
                  <c:v>0</c:v>
                </c:pt>
                <c:pt idx="6">
                  <c:v>182420052.63411799</c:v>
                </c:pt>
                <c:pt idx="7">
                  <c:v>206016720.105306</c:v>
                </c:pt>
                <c:pt idx="8">
                  <c:v>222237036.773339</c:v>
                </c:pt>
                <c:pt idx="9">
                  <c:v>238987186.78058401</c:v>
                </c:pt>
                <c:pt idx="10">
                  <c:v>103540289.40000001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B5-4BED-9FC7-71C1C2E68C8C}"/>
            </c:ext>
          </c:extLst>
        </c:ser>
        <c:ser>
          <c:idx val="1"/>
          <c:order val="1"/>
          <c:tx>
            <c:v>Despesa</c:v>
          </c:tx>
          <c:cat>
            <c:numRef>
              <c:f>Dashboard!$A$55:$A$66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Dashboard!$C$55:$C$66</c:f>
              <c:numCache>
                <c:formatCode>General</c:formatCode>
                <c:ptCount val="12"/>
                <c:pt idx="0">
                  <c:v>120048796.37991501</c:v>
                </c:pt>
                <c:pt idx="1">
                  <c:v>102090608.674941</c:v>
                </c:pt>
                <c:pt idx="2">
                  <c:v>110498214.00881201</c:v>
                </c:pt>
                <c:pt idx="3">
                  <c:v>124212602.07742001</c:v>
                </c:pt>
                <c:pt idx="4">
                  <c:v>114534006.23878399</c:v>
                </c:pt>
                <c:pt idx="5">
                  <c:v>0</c:v>
                </c:pt>
                <c:pt idx="6">
                  <c:v>165995793.87628201</c:v>
                </c:pt>
                <c:pt idx="7">
                  <c:v>183745862.52401701</c:v>
                </c:pt>
                <c:pt idx="8">
                  <c:v>212574437.34286699</c:v>
                </c:pt>
                <c:pt idx="9">
                  <c:v>217695400.67711699</c:v>
                </c:pt>
                <c:pt idx="10">
                  <c:v>98601575.040000007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5-4BED-9FC7-71C1C2E68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Resultado</c:v>
          </c:tx>
          <c:invertIfNegative val="1"/>
          <c:cat>
            <c:numRef>
              <c:f>Dashboard!$A$55:$A$66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Dashboard!$D$55:$D$66</c:f>
              <c:numCache>
                <c:formatCode>General</c:formatCode>
                <c:ptCount val="12"/>
                <c:pt idx="0">
                  <c:v>-12359817.092220008</c:v>
                </c:pt>
                <c:pt idx="1">
                  <c:v>17817676.721360981</c:v>
                </c:pt>
                <c:pt idx="2">
                  <c:v>9041359.2967039943</c:v>
                </c:pt>
                <c:pt idx="3">
                  <c:v>8807492.7661660016</c:v>
                </c:pt>
                <c:pt idx="4">
                  <c:v>23066891.604295015</c:v>
                </c:pt>
                <c:pt idx="5">
                  <c:v>0</c:v>
                </c:pt>
                <c:pt idx="6">
                  <c:v>16424258.757835984</c:v>
                </c:pt>
                <c:pt idx="7">
                  <c:v>22270857.581289023</c:v>
                </c:pt>
                <c:pt idx="8">
                  <c:v>9662599.4304720163</c:v>
                </c:pt>
                <c:pt idx="9">
                  <c:v>21291786.103467017</c:v>
                </c:pt>
                <c:pt idx="10">
                  <c:v>4938714.3600000003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6-47FE-A531-D8A60B839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Autonomia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Autonomia</c:v>
          </c:tx>
          <c:cat>
            <c:numRef>
              <c:f>Dashboard!$K$55:$K$66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Dashboard!$L$55:$L$66</c:f>
              <c:numCache>
                <c:formatCode>General</c:formatCode>
                <c:ptCount val="12"/>
                <c:pt idx="0">
                  <c:v>3.2603684777623189E-2</c:v>
                </c:pt>
                <c:pt idx="1">
                  <c:v>3.0153449867898013E-2</c:v>
                </c:pt>
                <c:pt idx="2">
                  <c:v>3.3024952691125542E-2</c:v>
                </c:pt>
                <c:pt idx="3">
                  <c:v>3.544011146279312E-2</c:v>
                </c:pt>
                <c:pt idx="4">
                  <c:v>7.7279292262516654E-5</c:v>
                </c:pt>
                <c:pt idx="5">
                  <c:v>0</c:v>
                </c:pt>
                <c:pt idx="6">
                  <c:v>3.7244143175437852E-2</c:v>
                </c:pt>
                <c:pt idx="7">
                  <c:v>3.6588401923625523E-2</c:v>
                </c:pt>
                <c:pt idx="8">
                  <c:v>4.3064799643108588E-2</c:v>
                </c:pt>
                <c:pt idx="9">
                  <c:v>3.3881628825005464E-2</c:v>
                </c:pt>
                <c:pt idx="10">
                  <c:v>2.645902378557578E-2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3-424C-8C00-627411B66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Receita/PIB x Despesa/PIB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Receita/PIB</c:v>
          </c:tx>
          <c:cat>
            <c:numRef>
              <c:f>Dashboard!$N$55:$N$66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Dashboard!$O$55:$O$66</c:f>
              <c:numCache>
                <c:formatCode>General</c:formatCode>
                <c:ptCount val="12"/>
                <c:pt idx="0">
                  <c:v>0.15719377980019406</c:v>
                </c:pt>
                <c:pt idx="1">
                  <c:v>0.17782881609306092</c:v>
                </c:pt>
                <c:pt idx="2">
                  <c:v>0.16405326240355206</c:v>
                </c:pt>
                <c:pt idx="3">
                  <c:v>0.1702445794590714</c:v>
                </c:pt>
                <c:pt idx="4">
                  <c:v>0.18346540114912499</c:v>
                </c:pt>
                <c:pt idx="5">
                  <c:v>0</c:v>
                </c:pt>
                <c:pt idx="6">
                  <c:v>0.23534970662277213</c:v>
                </c:pt>
                <c:pt idx="7">
                  <c:v>0.26047148481557308</c:v>
                </c:pt>
                <c:pt idx="8">
                  <c:v>0.27926154415930998</c:v>
                </c:pt>
                <c:pt idx="9">
                  <c:v>0.28144143305740477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2-415F-BB91-45EF6A59F105}"/>
            </c:ext>
          </c:extLst>
        </c:ser>
        <c:ser>
          <c:idx val="1"/>
          <c:order val="1"/>
          <c:tx>
            <c:v>Despesa/PIB</c:v>
          </c:tx>
          <c:cat>
            <c:numRef>
              <c:f>Dashboard!$N$55:$N$66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Dashboard!$P$55:$P$66</c:f>
              <c:numCache>
                <c:formatCode>General</c:formatCode>
                <c:ptCount val="12"/>
                <c:pt idx="0">
                  <c:v>0.17523542509404177</c:v>
                </c:pt>
                <c:pt idx="1">
                  <c:v>0.15140448397608919</c:v>
                </c:pt>
                <c:pt idx="2">
                  <c:v>0.15164511631291738</c:v>
                </c:pt>
                <c:pt idx="3">
                  <c:v>0.15897238856319307</c:v>
                </c:pt>
                <c:pt idx="4">
                  <c:v>0.15270995850461883</c:v>
                </c:pt>
                <c:pt idx="5">
                  <c:v>0</c:v>
                </c:pt>
                <c:pt idx="6">
                  <c:v>0.21415990635500134</c:v>
                </c:pt>
                <c:pt idx="7">
                  <c:v>0.23231394818772388</c:v>
                </c:pt>
                <c:pt idx="8">
                  <c:v>0.26711958763971061</c:v>
                </c:pt>
                <c:pt idx="9">
                  <c:v>0.25636732396379397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F2-415F-BB91-45EF6A59F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Receitas e despesas — municípios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Receita Lábrea</c:v>
          </c:tx>
          <c:cat>
            <c:numRef>
              <c:f>Comparativo!$A$11:$A$22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Comparativo!$B$11:$B$22</c:f>
              <c:numCache>
                <c:formatCode>#,##0.00</c:formatCode>
                <c:ptCount val="12"/>
                <c:pt idx="0">
                  <c:v>107688979.28769501</c:v>
                </c:pt>
                <c:pt idx="1">
                  <c:v>119908285.39630198</c:v>
                </c:pt>
                <c:pt idx="2">
                  <c:v>119539573.305516</c:v>
                </c:pt>
                <c:pt idx="3">
                  <c:v>133020094.84358601</c:v>
                </c:pt>
                <c:pt idx="4">
                  <c:v>137600897.843079</c:v>
                </c:pt>
                <c:pt idx="5">
                  <c:v>0</c:v>
                </c:pt>
                <c:pt idx="6">
                  <c:v>182420052.63411799</c:v>
                </c:pt>
                <c:pt idx="7">
                  <c:v>206016720.105306</c:v>
                </c:pt>
                <c:pt idx="8">
                  <c:v>222237036.773339</c:v>
                </c:pt>
                <c:pt idx="9">
                  <c:v>238987186.78058401</c:v>
                </c:pt>
                <c:pt idx="10">
                  <c:v>103540289.40000001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0D-42FC-BC40-206D3E7EB93D}"/>
            </c:ext>
          </c:extLst>
        </c:ser>
        <c:ser>
          <c:idx val="1"/>
          <c:order val="1"/>
          <c:tx>
            <c:v>Receita Eirunepé</c:v>
          </c:tx>
          <c:cat>
            <c:numRef>
              <c:f>Comparativo!$A$11:$A$22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Comparativo!$C$11:$C$22</c:f>
              <c:numCache>
                <c:formatCode>#,##0.00</c:formatCode>
                <c:ptCount val="12"/>
                <c:pt idx="0">
                  <c:v>107688979.28769501</c:v>
                </c:pt>
                <c:pt idx="1">
                  <c:v>99134904.343140006</c:v>
                </c:pt>
                <c:pt idx="2">
                  <c:v>96759329.350096002</c:v>
                </c:pt>
                <c:pt idx="3">
                  <c:v>105448870.73287001</c:v>
                </c:pt>
                <c:pt idx="4">
                  <c:v>127321219.009094</c:v>
                </c:pt>
                <c:pt idx="5">
                  <c:v>132718282.96808399</c:v>
                </c:pt>
                <c:pt idx="6">
                  <c:v>151042324.596248</c:v>
                </c:pt>
                <c:pt idx="7">
                  <c:v>167932746.946365</c:v>
                </c:pt>
                <c:pt idx="8">
                  <c:v>195333940.48663998</c:v>
                </c:pt>
                <c:pt idx="9">
                  <c:v>219323925.99595499</c:v>
                </c:pt>
                <c:pt idx="10">
                  <c:v>196960631.72999999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0D-42FC-BC40-206D3E7EB93D}"/>
            </c:ext>
          </c:extLst>
        </c:ser>
        <c:ser>
          <c:idx val="2"/>
          <c:order val="2"/>
          <c:tx>
            <c:v>Despesa Lábrea</c:v>
          </c:tx>
          <c:cat>
            <c:numRef>
              <c:f>Comparativo!$A$11:$A$22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Comparativo!$D$11:$D$22</c:f>
              <c:numCache>
                <c:formatCode>#,##0.00</c:formatCode>
                <c:ptCount val="12"/>
                <c:pt idx="0">
                  <c:v>120048796.37991501</c:v>
                </c:pt>
                <c:pt idx="1">
                  <c:v>102090608.674941</c:v>
                </c:pt>
                <c:pt idx="2">
                  <c:v>110498214.00881201</c:v>
                </c:pt>
                <c:pt idx="3">
                  <c:v>124212602.07742001</c:v>
                </c:pt>
                <c:pt idx="4">
                  <c:v>114534006.23878399</c:v>
                </c:pt>
                <c:pt idx="5">
                  <c:v>0</c:v>
                </c:pt>
                <c:pt idx="6">
                  <c:v>165995793.87628201</c:v>
                </c:pt>
                <c:pt idx="7">
                  <c:v>183745862.52401701</c:v>
                </c:pt>
                <c:pt idx="8">
                  <c:v>212574437.34286699</c:v>
                </c:pt>
                <c:pt idx="9">
                  <c:v>217695400.67711699</c:v>
                </c:pt>
                <c:pt idx="10">
                  <c:v>98601575.040000007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0D-42FC-BC40-206D3E7EB93D}"/>
            </c:ext>
          </c:extLst>
        </c:ser>
        <c:ser>
          <c:idx val="3"/>
          <c:order val="3"/>
          <c:tx>
            <c:v>Despesa Eirunepé</c:v>
          </c:tx>
          <c:cat>
            <c:numRef>
              <c:f>Comparativo!$A$11:$A$22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Comparativo!$E$11:$E$22</c:f>
              <c:numCache>
                <c:formatCode>#,##0.00</c:formatCode>
                <c:ptCount val="12"/>
                <c:pt idx="0">
                  <c:v>90275362.415813997</c:v>
                </c:pt>
                <c:pt idx="1">
                  <c:v>74237208.115197003</c:v>
                </c:pt>
                <c:pt idx="2">
                  <c:v>56872715.450305998</c:v>
                </c:pt>
                <c:pt idx="3">
                  <c:v>96406658.37747401</c:v>
                </c:pt>
                <c:pt idx="4">
                  <c:v>129882220.00933298</c:v>
                </c:pt>
                <c:pt idx="5">
                  <c:v>122213146.017776</c:v>
                </c:pt>
                <c:pt idx="6">
                  <c:v>145674056.354664</c:v>
                </c:pt>
                <c:pt idx="7">
                  <c:v>159122129.80959597</c:v>
                </c:pt>
                <c:pt idx="8">
                  <c:v>192334857.98201498</c:v>
                </c:pt>
                <c:pt idx="9">
                  <c:v>209056393.37792003</c:v>
                </c:pt>
                <c:pt idx="10">
                  <c:v>192107576.69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0D-42FC-BC40-206D3E7EB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15</xdr:col>
      <xdr:colOff>0</xdr:colOff>
      <xdr:row>50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se" displayName="tblBase" ref="A1:M33">
  <tableColumns count="13">
    <tableColumn id="1" xr3:uid="{00000000-0010-0000-0000-000001000000}" name="Local"/>
    <tableColumn id="2" xr3:uid="{00000000-0010-0000-0000-000002000000}" name="Tipo"/>
    <tableColumn id="3" xr3:uid="{00000000-0010-0000-0000-000003000000}" name="Ano"/>
    <tableColumn id="4" xr3:uid="{00000000-0010-0000-0000-000004000000}" name="PIB"/>
    <tableColumn id="5" xr3:uid="{00000000-0010-0000-0000-000005000000}" name="Receita Real"/>
    <tableColumn id="6" xr3:uid="{00000000-0010-0000-0000-000006000000}" name="Despesa Real"/>
    <tableColumn id="7" xr3:uid="{00000000-0010-0000-0000-000007000000}" name="Resultado Real"/>
    <tableColumn id="8" xr3:uid="{00000000-0010-0000-0000-000008000000}" name="Receita Própria Real"/>
    <tableColumn id="9" xr3:uid="{00000000-0010-0000-0000-000009000000}" name="Autonomia"/>
    <tableColumn id="10" xr3:uid="{00000000-0010-0000-0000-00000A000000}" name="Carga Tributária"/>
    <tableColumn id="11" xr3:uid="{00000000-0010-0000-0000-00000B000000}" name="IPCA Fator"/>
    <tableColumn id="12" xr3:uid="{00000000-0010-0000-0000-00000C000000}" name="Unidade"/>
    <tableColumn id="13" xr3:uid="{00000000-0010-0000-0000-00000D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abSelected="1" zoomScale="70" zoomScaleNormal="70" workbookViewId="0">
      <selection activeCell="A14" sqref="A14:H14"/>
    </sheetView>
  </sheetViews>
  <sheetFormatPr defaultRowHeight="14.25"/>
  <cols>
    <col min="1" max="1" width="15" customWidth="1"/>
    <col min="2" max="15" width="13" customWidth="1"/>
  </cols>
  <sheetData>
    <row r="1" spans="1:15" ht="32.25" customHeight="1">
      <c r="A1" s="21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>
      <c r="A2" s="23" t="s">
        <v>26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28.5">
      <c r="A4" s="11" t="s">
        <v>27</v>
      </c>
      <c r="B4" s="24" t="s">
        <v>13</v>
      </c>
      <c r="C4" s="24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24" customHeight="1">
      <c r="A6" s="13" t="s">
        <v>28</v>
      </c>
      <c r="B6" s="14"/>
      <c r="C6" s="14"/>
      <c r="D6" s="13" t="s">
        <v>29</v>
      </c>
      <c r="E6" s="14"/>
      <c r="F6" s="14"/>
      <c r="G6" s="13" t="s">
        <v>6</v>
      </c>
      <c r="H6" s="14"/>
      <c r="I6" s="14"/>
      <c r="J6" s="13" t="s">
        <v>30</v>
      </c>
      <c r="K6" s="14"/>
      <c r="L6" s="14"/>
      <c r="M6" s="13" t="s">
        <v>31</v>
      </c>
      <c r="N6" s="14"/>
      <c r="O6" s="14"/>
    </row>
    <row r="7" spans="1:15" ht="24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32.1" customHeight="1">
      <c r="A8" s="15">
        <f>IF($B$4="Irlanda",B65,B65/1000000)</f>
        <v>103.54028940000001</v>
      </c>
      <c r="B8" s="16"/>
      <c r="C8" s="16"/>
      <c r="D8" s="15">
        <f>IF($B$4="Irlanda",C65,C65/1000000)</f>
        <v>98.60157504</v>
      </c>
      <c r="E8" s="16"/>
      <c r="F8" s="16"/>
      <c r="G8" s="15">
        <f>IF($B$4="Irlanda",D65,D65/1000000)</f>
        <v>4.9387143600000005</v>
      </c>
      <c r="H8" s="14"/>
      <c r="I8" s="14"/>
      <c r="J8" s="19">
        <f>E65</f>
        <v>2.645902378557578E-2</v>
      </c>
      <c r="K8" s="18"/>
      <c r="L8" s="18"/>
      <c r="M8" s="19">
        <f>IF($B$4="Irlanda",H65,H64)</f>
        <v>0.28144143305740477</v>
      </c>
      <c r="N8" s="14"/>
      <c r="O8" s="14"/>
    </row>
    <row r="9" spans="1:15" ht="21.95" customHeight="1">
      <c r="A9" s="17">
        <f>IFERROR(B65/B64-1,"")</f>
        <v>-0.56675380469221071</v>
      </c>
      <c r="B9" s="18"/>
      <c r="C9" s="18"/>
      <c r="D9" s="17">
        <f>IFERROR(C65/C64-1,"")</f>
        <v>-0.5470663379505909</v>
      </c>
      <c r="E9" s="14"/>
      <c r="F9" s="14"/>
      <c r="G9" s="17">
        <f>IFERROR(D65/B65,"")</f>
        <v>4.7698479390187988E-2</v>
      </c>
      <c r="H9" s="18"/>
      <c r="I9" s="18"/>
      <c r="J9" s="20">
        <f>IF($B$4="Irlanda",G65,G65/1000000)</f>
        <v>2.73957498</v>
      </c>
      <c r="K9" s="14"/>
      <c r="L9" s="14"/>
      <c r="M9" s="17">
        <f>IF($B$4="Irlanda",I65,I64)</f>
        <v>0.25636732396379397</v>
      </c>
      <c r="N9" s="14"/>
      <c r="O9" s="14"/>
    </row>
    <row r="10" spans="1:15" ht="24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>
      <c r="A12" s="25" t="s">
        <v>32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</row>
    <row r="13" spans="1: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ht="15.75">
      <c r="A14" s="12" t="s">
        <v>33</v>
      </c>
      <c r="B14" s="12"/>
      <c r="C14" s="12"/>
      <c r="D14" s="12"/>
      <c r="E14" s="12"/>
      <c r="F14" s="12"/>
      <c r="G14" s="12"/>
      <c r="H14" s="12"/>
      <c r="I14" s="12" t="s">
        <v>6</v>
      </c>
      <c r="J14" s="12"/>
      <c r="K14" s="12"/>
      <c r="L14" s="12"/>
      <c r="M14" s="12"/>
      <c r="N14" s="12"/>
      <c r="O14" s="12"/>
    </row>
    <row r="15" spans="1: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ht="15.75">
      <c r="A33" s="12" t="s">
        <v>34</v>
      </c>
      <c r="B33" s="12"/>
      <c r="C33" s="12"/>
      <c r="D33" s="12"/>
      <c r="E33" s="12"/>
      <c r="F33" s="12"/>
      <c r="G33" s="12"/>
      <c r="H33" s="12"/>
      <c r="I33" s="12" t="s">
        <v>35</v>
      </c>
      <c r="J33" s="12"/>
      <c r="K33" s="12"/>
      <c r="L33" s="12"/>
      <c r="M33" s="12"/>
      <c r="N33" s="12"/>
      <c r="O33" s="12"/>
    </row>
    <row r="34" spans="1: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4" spans="1:16" ht="0.95" customHeight="1">
      <c r="A54" s="6" t="s">
        <v>2</v>
      </c>
      <c r="B54" s="6" t="s">
        <v>36</v>
      </c>
      <c r="C54" s="6" t="s">
        <v>37</v>
      </c>
      <c r="D54" s="6" t="s">
        <v>38</v>
      </c>
      <c r="E54" s="6" t="s">
        <v>8</v>
      </c>
      <c r="F54" s="6" t="s">
        <v>3</v>
      </c>
      <c r="G54" s="6" t="s">
        <v>39</v>
      </c>
      <c r="H54" s="6" t="s">
        <v>40</v>
      </c>
      <c r="I54" s="6" t="s">
        <v>41</v>
      </c>
      <c r="J54" s="6"/>
      <c r="K54" s="6" t="s">
        <v>2</v>
      </c>
      <c r="L54" s="6" t="s">
        <v>8</v>
      </c>
      <c r="M54" s="6"/>
      <c r="N54" s="6" t="s">
        <v>2</v>
      </c>
      <c r="O54" s="6" t="s">
        <v>40</v>
      </c>
      <c r="P54" s="6" t="s">
        <v>41</v>
      </c>
    </row>
    <row r="55" spans="1:16" ht="0.95" customHeight="1">
      <c r="A55" s="6">
        <v>2014</v>
      </c>
      <c r="B55" s="6">
        <f>IF(SUMIFS(Base_Limpa!$E:$E,Base_Limpa!$A:$A,$B$4,Base_Limpa!$C:$C,$A55)=0,"",SUMIFS(Base_Limpa!$E:$E,Base_Limpa!$A:$A,$B$4,Base_Limpa!$C:$C,$A55))</f>
        <v>107688979.28769501</v>
      </c>
      <c r="C55" s="6">
        <f>IF(SUMIFS(Base_Limpa!$F:$F,Base_Limpa!$A:$A,$B$4,Base_Limpa!$C:$C,$A55)=0,"",SUMIFS(Base_Limpa!$F:$F,Base_Limpa!$A:$A,$B$4,Base_Limpa!$C:$C,$A55))</f>
        <v>120048796.37991501</v>
      </c>
      <c r="D55" s="6">
        <f>IF(SUMIFS(Base_Limpa!$G:$G,Base_Limpa!$A:$A,$B$4,Base_Limpa!$C:$C,$A55)=0,"",SUMIFS(Base_Limpa!$G:$G,Base_Limpa!$A:$A,$B$4,Base_Limpa!$C:$C,$A55))</f>
        <v>-12359817.092220008</v>
      </c>
      <c r="E55" s="6">
        <f>IF(SUMIFS(Base_Limpa!$I:$I,Base_Limpa!$A:$A,$B$4,Base_Limpa!$C:$C,$A55)=0,"",SUMIFS(Base_Limpa!$I:$I,Base_Limpa!$A:$A,$B$4,Base_Limpa!$C:$C,$A55))</f>
        <v>3.2603684777623189E-2</v>
      </c>
      <c r="F55" s="6">
        <f>IF(SUMIFS(Base_Limpa!$D:$D,Base_Limpa!$A:$A,$B$4,Base_Limpa!$C:$C,$A55)=0,"",SUMIFS(Base_Limpa!$D:$D,Base_Limpa!$A:$A,$B$4,Base_Limpa!$C:$C,$A55))</f>
        <v>685071504.89400005</v>
      </c>
      <c r="G55" s="6">
        <f>IF(SUMIFS(Base_Limpa!$H:$H,Base_Limpa!$A:$A,$B$4,Base_Limpa!$C:$C,$A55)=0,"",SUMIFS(Base_Limpa!$H:$H,Base_Limpa!$A:$A,$B$4,Base_Limpa!$C:$C,$A55))</f>
        <v>3511057.5347200003</v>
      </c>
      <c r="H55" s="6">
        <f t="shared" ref="H55:H66" si="0">IFERROR(B55/F55,"")</f>
        <v>0.15719377980019406</v>
      </c>
      <c r="I55" s="6">
        <f t="shared" ref="I55:I66" si="1">IFERROR(C55/F55,"")</f>
        <v>0.17523542509404177</v>
      </c>
      <c r="J55" s="6"/>
      <c r="K55" s="6">
        <v>2014</v>
      </c>
      <c r="L55" s="6">
        <f t="shared" ref="L55:L66" si="2">E55</f>
        <v>3.2603684777623189E-2</v>
      </c>
      <c r="M55" s="6"/>
      <c r="N55" s="6">
        <v>2014</v>
      </c>
      <c r="O55" s="6">
        <f t="shared" ref="O55:O66" si="3">H55</f>
        <v>0.15719377980019406</v>
      </c>
      <c r="P55" s="6">
        <f t="shared" ref="P55:P66" si="4">I55</f>
        <v>0.17523542509404177</v>
      </c>
    </row>
    <row r="56" spans="1:16" ht="0.95" customHeight="1">
      <c r="A56" s="6">
        <v>2015</v>
      </c>
      <c r="B56" s="6">
        <f>IF(SUMIFS(Base_Limpa!$E:$E,Base_Limpa!$A:$A,$B$4,Base_Limpa!$C:$C,$A56)=0,"",SUMIFS(Base_Limpa!$E:$E,Base_Limpa!$A:$A,$B$4,Base_Limpa!$C:$C,$A56))</f>
        <v>119908285.39630198</v>
      </c>
      <c r="C56" s="6">
        <f>IF(SUMIFS(Base_Limpa!$F:$F,Base_Limpa!$A:$A,$B$4,Base_Limpa!$C:$C,$A56)=0,"",SUMIFS(Base_Limpa!$F:$F,Base_Limpa!$A:$A,$B$4,Base_Limpa!$C:$C,$A56))</f>
        <v>102090608.674941</v>
      </c>
      <c r="D56" s="6">
        <f>IF(SUMIFS(Base_Limpa!$G:$G,Base_Limpa!$A:$A,$B$4,Base_Limpa!$C:$C,$A56)=0,"",SUMIFS(Base_Limpa!$G:$G,Base_Limpa!$A:$A,$B$4,Base_Limpa!$C:$C,$A56))</f>
        <v>17817676.721360981</v>
      </c>
      <c r="E56" s="6">
        <f>IF(SUMIFS(Base_Limpa!$I:$I,Base_Limpa!$A:$A,$B$4,Base_Limpa!$C:$C,$A56)=0,"",SUMIFS(Base_Limpa!$I:$I,Base_Limpa!$A:$A,$B$4,Base_Limpa!$C:$C,$A56))</f>
        <v>3.0153449867898013E-2</v>
      </c>
      <c r="F56" s="6">
        <f>IF(SUMIFS(Base_Limpa!$D:$D,Base_Limpa!$A:$A,$B$4,Base_Limpa!$C:$C,$A56)=0,"",SUMIFS(Base_Limpa!$D:$D,Base_Limpa!$A:$A,$B$4,Base_Limpa!$C:$C,$A56))</f>
        <v>674290522.93499994</v>
      </c>
      <c r="G56" s="6">
        <f>IF(SUMIFS(Base_Limpa!$H:$H,Base_Limpa!$A:$A,$B$4,Base_Limpa!$C:$C,$A56)=0,"",SUMIFS(Base_Limpa!$H:$H,Base_Limpa!$A:$A,$B$4,Base_Limpa!$C:$C,$A56))</f>
        <v>3615648.4724429995</v>
      </c>
      <c r="H56" s="6">
        <f t="shared" si="0"/>
        <v>0.17782881609306092</v>
      </c>
      <c r="I56" s="6">
        <f t="shared" si="1"/>
        <v>0.15140448397608919</v>
      </c>
      <c r="J56" s="6"/>
      <c r="K56" s="6">
        <v>2015</v>
      </c>
      <c r="L56" s="6">
        <f t="shared" si="2"/>
        <v>3.0153449867898013E-2</v>
      </c>
      <c r="M56" s="6"/>
      <c r="N56" s="6">
        <v>2015</v>
      </c>
      <c r="O56" s="6">
        <f t="shared" si="3"/>
        <v>0.17782881609306092</v>
      </c>
      <c r="P56" s="6">
        <f t="shared" si="4"/>
        <v>0.15140448397608919</v>
      </c>
    </row>
    <row r="57" spans="1:16" ht="0.95" customHeight="1">
      <c r="A57" s="6">
        <v>2016</v>
      </c>
      <c r="B57" s="6">
        <f>IF(SUMIFS(Base_Limpa!$E:$E,Base_Limpa!$A:$A,$B$4,Base_Limpa!$C:$C,$A57)=0,"",SUMIFS(Base_Limpa!$E:$E,Base_Limpa!$A:$A,$B$4,Base_Limpa!$C:$C,$A57))</f>
        <v>119539573.305516</v>
      </c>
      <c r="C57" s="6">
        <f>IF(SUMIFS(Base_Limpa!$F:$F,Base_Limpa!$A:$A,$B$4,Base_Limpa!$C:$C,$A57)=0,"",SUMIFS(Base_Limpa!$F:$F,Base_Limpa!$A:$A,$B$4,Base_Limpa!$C:$C,$A57))</f>
        <v>110498214.00881201</v>
      </c>
      <c r="D57" s="6">
        <f>IF(SUMIFS(Base_Limpa!$G:$G,Base_Limpa!$A:$A,$B$4,Base_Limpa!$C:$C,$A57)=0,"",SUMIFS(Base_Limpa!$G:$G,Base_Limpa!$A:$A,$B$4,Base_Limpa!$C:$C,$A57))</f>
        <v>9041359.2967039943</v>
      </c>
      <c r="E57" s="6">
        <f>IF(SUMIFS(Base_Limpa!$I:$I,Base_Limpa!$A:$A,$B$4,Base_Limpa!$C:$C,$A57)=0,"",SUMIFS(Base_Limpa!$I:$I,Base_Limpa!$A:$A,$B$4,Base_Limpa!$C:$C,$A57))</f>
        <v>3.3024952691125542E-2</v>
      </c>
      <c r="F57" s="6">
        <f>IF(SUMIFS(Base_Limpa!$D:$D,Base_Limpa!$A:$A,$B$4,Base_Limpa!$C:$C,$A57)=0,"",SUMIFS(Base_Limpa!$D:$D,Base_Limpa!$A:$A,$B$4,Base_Limpa!$C:$C,$A57))</f>
        <v>728663188.73600006</v>
      </c>
      <c r="G57" s="6">
        <f>IF(SUMIFS(Base_Limpa!$H:$H,Base_Limpa!$A:$A,$B$4,Base_Limpa!$C:$C,$A57)=0,"",SUMIFS(Base_Limpa!$H:$H,Base_Limpa!$A:$A,$B$4,Base_Limpa!$C:$C,$A57))</f>
        <v>3947788.7531319996</v>
      </c>
      <c r="H57" s="6">
        <f t="shared" si="0"/>
        <v>0.16405326240355206</v>
      </c>
      <c r="I57" s="6">
        <f t="shared" si="1"/>
        <v>0.15164511631291738</v>
      </c>
      <c r="J57" s="6"/>
      <c r="K57" s="6">
        <v>2016</v>
      </c>
      <c r="L57" s="6">
        <f t="shared" si="2"/>
        <v>3.3024952691125542E-2</v>
      </c>
      <c r="M57" s="6"/>
      <c r="N57" s="6">
        <v>2016</v>
      </c>
      <c r="O57" s="6">
        <f t="shared" si="3"/>
        <v>0.16405326240355206</v>
      </c>
      <c r="P57" s="6">
        <f t="shared" si="4"/>
        <v>0.15164511631291738</v>
      </c>
    </row>
    <row r="58" spans="1:16" ht="0.95" customHeight="1">
      <c r="A58" s="6">
        <v>2017</v>
      </c>
      <c r="B58" s="6">
        <f>IF(SUMIFS(Base_Limpa!$E:$E,Base_Limpa!$A:$A,$B$4,Base_Limpa!$C:$C,$A58)=0,"",SUMIFS(Base_Limpa!$E:$E,Base_Limpa!$A:$A,$B$4,Base_Limpa!$C:$C,$A58))</f>
        <v>133020094.84358601</v>
      </c>
      <c r="C58" s="6">
        <f>IF(SUMIFS(Base_Limpa!$F:$F,Base_Limpa!$A:$A,$B$4,Base_Limpa!$C:$C,$A58)=0,"",SUMIFS(Base_Limpa!$F:$F,Base_Limpa!$A:$A,$B$4,Base_Limpa!$C:$C,$A58))</f>
        <v>124212602.07742001</v>
      </c>
      <c r="D58" s="6">
        <f>IF(SUMIFS(Base_Limpa!$G:$G,Base_Limpa!$A:$A,$B$4,Base_Limpa!$C:$C,$A58)=0,"",SUMIFS(Base_Limpa!$G:$G,Base_Limpa!$A:$A,$B$4,Base_Limpa!$C:$C,$A58))</f>
        <v>8807492.7661660016</v>
      </c>
      <c r="E58" s="6">
        <f>IF(SUMIFS(Base_Limpa!$I:$I,Base_Limpa!$A:$A,$B$4,Base_Limpa!$C:$C,$A58)=0,"",SUMIFS(Base_Limpa!$I:$I,Base_Limpa!$A:$A,$B$4,Base_Limpa!$C:$C,$A58))</f>
        <v>3.544011146279312E-2</v>
      </c>
      <c r="F58" s="6">
        <f>IF(SUMIFS(Base_Limpa!$D:$D,Base_Limpa!$A:$A,$B$4,Base_Limpa!$C:$C,$A58)=0,"",SUMIFS(Base_Limpa!$D:$D,Base_Limpa!$A:$A,$B$4,Base_Limpa!$C:$C,$A58))</f>
        <v>781347020.07099998</v>
      </c>
      <c r="G58" s="6">
        <f>IF(SUMIFS(Base_Limpa!$H:$H,Base_Limpa!$A:$A,$B$4,Base_Limpa!$C:$C,$A58)=0,"",SUMIFS(Base_Limpa!$H:$H,Base_Limpa!$A:$A,$B$4,Base_Limpa!$C:$C,$A58))</f>
        <v>4714246.9880480003</v>
      </c>
      <c r="H58" s="6">
        <f t="shared" si="0"/>
        <v>0.1702445794590714</v>
      </c>
      <c r="I58" s="6">
        <f t="shared" si="1"/>
        <v>0.15897238856319307</v>
      </c>
      <c r="J58" s="6"/>
      <c r="K58" s="6">
        <v>2017</v>
      </c>
      <c r="L58" s="6">
        <f t="shared" si="2"/>
        <v>3.544011146279312E-2</v>
      </c>
      <c r="M58" s="6"/>
      <c r="N58" s="6">
        <v>2017</v>
      </c>
      <c r="O58" s="6">
        <f t="shared" si="3"/>
        <v>0.1702445794590714</v>
      </c>
      <c r="P58" s="6">
        <f t="shared" si="4"/>
        <v>0.15897238856319307</v>
      </c>
    </row>
    <row r="59" spans="1:16" ht="0.95" customHeight="1">
      <c r="A59" s="6">
        <v>2018</v>
      </c>
      <c r="B59" s="6">
        <f>IF(SUMIFS(Base_Limpa!$E:$E,Base_Limpa!$A:$A,$B$4,Base_Limpa!$C:$C,$A59)=0,"",SUMIFS(Base_Limpa!$E:$E,Base_Limpa!$A:$A,$B$4,Base_Limpa!$C:$C,$A59))</f>
        <v>137600897.843079</v>
      </c>
      <c r="C59" s="6">
        <f>IF(SUMIFS(Base_Limpa!$F:$F,Base_Limpa!$A:$A,$B$4,Base_Limpa!$C:$C,$A59)=0,"",SUMIFS(Base_Limpa!$F:$F,Base_Limpa!$A:$A,$B$4,Base_Limpa!$C:$C,$A59))</f>
        <v>114534006.23878399</v>
      </c>
      <c r="D59" s="6">
        <f>IF(SUMIFS(Base_Limpa!$G:$G,Base_Limpa!$A:$A,$B$4,Base_Limpa!$C:$C,$A59)=0,"",SUMIFS(Base_Limpa!$G:$G,Base_Limpa!$A:$A,$B$4,Base_Limpa!$C:$C,$A59))</f>
        <v>23066891.604295015</v>
      </c>
      <c r="E59" s="6">
        <f>IF(SUMIFS(Base_Limpa!$I:$I,Base_Limpa!$A:$A,$B$4,Base_Limpa!$C:$C,$A59)=0,"",SUMIFS(Base_Limpa!$I:$I,Base_Limpa!$A:$A,$B$4,Base_Limpa!$C:$C,$A59))</f>
        <v>7.7279292262516654E-5</v>
      </c>
      <c r="F59" s="6">
        <f>IF(SUMIFS(Base_Limpa!$D:$D,Base_Limpa!$A:$A,$B$4,Base_Limpa!$C:$C,$A59)=0,"",SUMIFS(Base_Limpa!$D:$D,Base_Limpa!$A:$A,$B$4,Base_Limpa!$C:$C,$A59))</f>
        <v>750010067.19099998</v>
      </c>
      <c r="G59" s="6">
        <f>IF(SUMIFS(Base_Limpa!$H:$H,Base_Limpa!$A:$A,$B$4,Base_Limpa!$C:$C,$A59)=0,"",SUMIFS(Base_Limpa!$H:$H,Base_Limpa!$A:$A,$B$4,Base_Limpa!$C:$C,$A59))</f>
        <v>10633.7</v>
      </c>
      <c r="H59" s="6">
        <f t="shared" si="0"/>
        <v>0.18346540114912499</v>
      </c>
      <c r="I59" s="6">
        <f t="shared" si="1"/>
        <v>0.15270995850461883</v>
      </c>
      <c r="J59" s="6"/>
      <c r="K59" s="6">
        <v>2018</v>
      </c>
      <c r="L59" s="6">
        <f t="shared" si="2"/>
        <v>7.7279292262516654E-5</v>
      </c>
      <c r="M59" s="6"/>
      <c r="N59" s="6">
        <v>2018</v>
      </c>
      <c r="O59" s="6">
        <f t="shared" si="3"/>
        <v>0.18346540114912499</v>
      </c>
      <c r="P59" s="6">
        <f t="shared" si="4"/>
        <v>0.15270995850461883</v>
      </c>
    </row>
    <row r="60" spans="1:16" ht="0.95" customHeight="1">
      <c r="A60" s="6">
        <v>2019</v>
      </c>
      <c r="B60" s="6" t="str">
        <f>IF(SUMIFS(Base_Limpa!$E:$E,Base_Limpa!$A:$A,$B$4,Base_Limpa!$C:$C,$A60)=0,"",SUMIFS(Base_Limpa!$E:$E,Base_Limpa!$A:$A,$B$4,Base_Limpa!$C:$C,$A60))</f>
        <v/>
      </c>
      <c r="C60" s="6" t="str">
        <f>IF(SUMIFS(Base_Limpa!$F:$F,Base_Limpa!$A:$A,$B$4,Base_Limpa!$C:$C,$A60)=0,"",SUMIFS(Base_Limpa!$F:$F,Base_Limpa!$A:$A,$B$4,Base_Limpa!$C:$C,$A60))</f>
        <v/>
      </c>
      <c r="D60" s="6" t="str">
        <f>IF(SUMIFS(Base_Limpa!$G:$G,Base_Limpa!$A:$A,$B$4,Base_Limpa!$C:$C,$A60)=0,"",SUMIFS(Base_Limpa!$G:$G,Base_Limpa!$A:$A,$B$4,Base_Limpa!$C:$C,$A60))</f>
        <v/>
      </c>
      <c r="E60" s="6" t="str">
        <f>IF(SUMIFS(Base_Limpa!$I:$I,Base_Limpa!$A:$A,$B$4,Base_Limpa!$C:$C,$A60)=0,"",SUMIFS(Base_Limpa!$I:$I,Base_Limpa!$A:$A,$B$4,Base_Limpa!$C:$C,$A60))</f>
        <v/>
      </c>
      <c r="F60" s="6">
        <f>IF(SUMIFS(Base_Limpa!$D:$D,Base_Limpa!$A:$A,$B$4,Base_Limpa!$C:$C,$A60)=0,"",SUMIFS(Base_Limpa!$D:$D,Base_Limpa!$A:$A,$B$4,Base_Limpa!$C:$C,$A60))</f>
        <v>728870511.99599993</v>
      </c>
      <c r="G60" s="6" t="str">
        <f>IF(SUMIFS(Base_Limpa!$H:$H,Base_Limpa!$A:$A,$B$4,Base_Limpa!$C:$C,$A60)=0,"",SUMIFS(Base_Limpa!$H:$H,Base_Limpa!$A:$A,$B$4,Base_Limpa!$C:$C,$A60))</f>
        <v/>
      </c>
      <c r="H60" s="6" t="str">
        <f t="shared" si="0"/>
        <v/>
      </c>
      <c r="I60" s="6" t="str">
        <f t="shared" si="1"/>
        <v/>
      </c>
      <c r="J60" s="6"/>
      <c r="K60" s="6">
        <v>2019</v>
      </c>
      <c r="L60" s="6" t="str">
        <f t="shared" si="2"/>
        <v/>
      </c>
      <c r="M60" s="6"/>
      <c r="N60" s="6">
        <v>2019</v>
      </c>
      <c r="O60" s="6" t="str">
        <f t="shared" si="3"/>
        <v/>
      </c>
      <c r="P60" s="6" t="str">
        <f t="shared" si="4"/>
        <v/>
      </c>
    </row>
    <row r="61" spans="1:16" ht="0.95" customHeight="1">
      <c r="A61" s="6">
        <v>2020</v>
      </c>
      <c r="B61" s="6">
        <f>IF(SUMIFS(Base_Limpa!$E:$E,Base_Limpa!$A:$A,$B$4,Base_Limpa!$C:$C,$A61)=0,"",SUMIFS(Base_Limpa!$E:$E,Base_Limpa!$A:$A,$B$4,Base_Limpa!$C:$C,$A61))</f>
        <v>182420052.63411799</v>
      </c>
      <c r="C61" s="6">
        <f>IF(SUMIFS(Base_Limpa!$F:$F,Base_Limpa!$A:$A,$B$4,Base_Limpa!$C:$C,$A61)=0,"",SUMIFS(Base_Limpa!$F:$F,Base_Limpa!$A:$A,$B$4,Base_Limpa!$C:$C,$A61))</f>
        <v>165995793.87628201</v>
      </c>
      <c r="D61" s="6">
        <f>IF(SUMIFS(Base_Limpa!$G:$G,Base_Limpa!$A:$A,$B$4,Base_Limpa!$C:$C,$A61)=0,"",SUMIFS(Base_Limpa!$G:$G,Base_Limpa!$A:$A,$B$4,Base_Limpa!$C:$C,$A61))</f>
        <v>16424258.757835984</v>
      </c>
      <c r="E61" s="6">
        <f>IF(SUMIFS(Base_Limpa!$I:$I,Base_Limpa!$A:$A,$B$4,Base_Limpa!$C:$C,$A61)=0,"",SUMIFS(Base_Limpa!$I:$I,Base_Limpa!$A:$A,$B$4,Base_Limpa!$C:$C,$A61))</f>
        <v>3.7244143175437852E-2</v>
      </c>
      <c r="F61" s="6">
        <f>IF(SUMIFS(Base_Limpa!$D:$D,Base_Limpa!$A:$A,$B$4,Base_Limpa!$C:$C,$A61)=0,"",SUMIFS(Base_Limpa!$D:$D,Base_Limpa!$A:$A,$B$4,Base_Limpa!$C:$C,$A61))</f>
        <v>775102103.38399994</v>
      </c>
      <c r="G61" s="6">
        <f>IF(SUMIFS(Base_Limpa!$H:$H,Base_Limpa!$A:$A,$B$4,Base_Limpa!$C:$C,$A61)=0,"",SUMIFS(Base_Limpa!$H:$H,Base_Limpa!$A:$A,$B$4,Base_Limpa!$C:$C,$A61))</f>
        <v>6794078.5583759993</v>
      </c>
      <c r="H61" s="6">
        <f t="shared" si="0"/>
        <v>0.23534970662277213</v>
      </c>
      <c r="I61" s="6">
        <f t="shared" si="1"/>
        <v>0.21415990635500134</v>
      </c>
      <c r="J61" s="6"/>
      <c r="K61" s="6">
        <v>2020</v>
      </c>
      <c r="L61" s="6">
        <f t="shared" si="2"/>
        <v>3.7244143175437852E-2</v>
      </c>
      <c r="M61" s="6"/>
      <c r="N61" s="6">
        <v>2020</v>
      </c>
      <c r="O61" s="6">
        <f t="shared" si="3"/>
        <v>0.23534970662277213</v>
      </c>
      <c r="P61" s="6">
        <f t="shared" si="4"/>
        <v>0.21415990635500134</v>
      </c>
    </row>
    <row r="62" spans="1:16" ht="0.95" customHeight="1">
      <c r="A62" s="6">
        <v>2021</v>
      </c>
      <c r="B62" s="6">
        <f>IF(SUMIFS(Base_Limpa!$E:$E,Base_Limpa!$A:$A,$B$4,Base_Limpa!$C:$C,$A62)=0,"",SUMIFS(Base_Limpa!$E:$E,Base_Limpa!$A:$A,$B$4,Base_Limpa!$C:$C,$A62))</f>
        <v>206016720.105306</v>
      </c>
      <c r="C62" s="6">
        <f>IF(SUMIFS(Base_Limpa!$F:$F,Base_Limpa!$A:$A,$B$4,Base_Limpa!$C:$C,$A62)=0,"",SUMIFS(Base_Limpa!$F:$F,Base_Limpa!$A:$A,$B$4,Base_Limpa!$C:$C,$A62))</f>
        <v>183745862.52401701</v>
      </c>
      <c r="D62" s="6">
        <f>IF(SUMIFS(Base_Limpa!$G:$G,Base_Limpa!$A:$A,$B$4,Base_Limpa!$C:$C,$A62)=0,"",SUMIFS(Base_Limpa!$G:$G,Base_Limpa!$A:$A,$B$4,Base_Limpa!$C:$C,$A62))</f>
        <v>22270857.581289023</v>
      </c>
      <c r="E62" s="6">
        <f>IF(SUMIFS(Base_Limpa!$I:$I,Base_Limpa!$A:$A,$B$4,Base_Limpa!$C:$C,$A62)=0,"",SUMIFS(Base_Limpa!$I:$I,Base_Limpa!$A:$A,$B$4,Base_Limpa!$C:$C,$A62))</f>
        <v>3.6588401923625523E-2</v>
      </c>
      <c r="F62" s="6">
        <f>IF(SUMIFS(Base_Limpa!$D:$D,Base_Limpa!$A:$A,$B$4,Base_Limpa!$C:$C,$A62)=0,"",SUMIFS(Base_Limpa!$D:$D,Base_Limpa!$A:$A,$B$4,Base_Limpa!$C:$C,$A62))</f>
        <v>790937711.47800004</v>
      </c>
      <c r="G62" s="6">
        <f>IF(SUMIFS(Base_Limpa!$H:$H,Base_Limpa!$A:$A,$B$4,Base_Limpa!$C:$C,$A62)=0,"",SUMIFS(Base_Limpa!$H:$H,Base_Limpa!$A:$A,$B$4,Base_Limpa!$C:$C,$A62))</f>
        <v>7537822.5581999999</v>
      </c>
      <c r="H62" s="6">
        <f t="shared" si="0"/>
        <v>0.26047148481557308</v>
      </c>
      <c r="I62" s="6">
        <f t="shared" si="1"/>
        <v>0.23231394818772388</v>
      </c>
      <c r="J62" s="6"/>
      <c r="K62" s="6">
        <v>2021</v>
      </c>
      <c r="L62" s="6">
        <f t="shared" si="2"/>
        <v>3.6588401923625523E-2</v>
      </c>
      <c r="M62" s="6"/>
      <c r="N62" s="6">
        <v>2021</v>
      </c>
      <c r="O62" s="6">
        <f t="shared" si="3"/>
        <v>0.26047148481557308</v>
      </c>
      <c r="P62" s="6">
        <f t="shared" si="4"/>
        <v>0.23231394818772388</v>
      </c>
    </row>
    <row r="63" spans="1:16" ht="0.95" customHeight="1">
      <c r="A63" s="6">
        <v>2022</v>
      </c>
      <c r="B63" s="6">
        <f>IF(SUMIFS(Base_Limpa!$E:$E,Base_Limpa!$A:$A,$B$4,Base_Limpa!$C:$C,$A63)=0,"",SUMIFS(Base_Limpa!$E:$E,Base_Limpa!$A:$A,$B$4,Base_Limpa!$C:$C,$A63))</f>
        <v>222237036.773339</v>
      </c>
      <c r="C63" s="6">
        <f>IF(SUMIFS(Base_Limpa!$F:$F,Base_Limpa!$A:$A,$B$4,Base_Limpa!$C:$C,$A63)=0,"",SUMIFS(Base_Limpa!$F:$F,Base_Limpa!$A:$A,$B$4,Base_Limpa!$C:$C,$A63))</f>
        <v>212574437.34286699</v>
      </c>
      <c r="D63" s="6">
        <f>IF(SUMIFS(Base_Limpa!$G:$G,Base_Limpa!$A:$A,$B$4,Base_Limpa!$C:$C,$A63)=0,"",SUMIFS(Base_Limpa!$G:$G,Base_Limpa!$A:$A,$B$4,Base_Limpa!$C:$C,$A63))</f>
        <v>9662599.4304720163</v>
      </c>
      <c r="E63" s="6">
        <f>IF(SUMIFS(Base_Limpa!$I:$I,Base_Limpa!$A:$A,$B$4,Base_Limpa!$C:$C,$A63)=0,"",SUMIFS(Base_Limpa!$I:$I,Base_Limpa!$A:$A,$B$4,Base_Limpa!$C:$C,$A63))</f>
        <v>4.3064799643108588E-2</v>
      </c>
      <c r="F63" s="6">
        <f>IF(SUMIFS(Base_Limpa!$D:$D,Base_Limpa!$A:$A,$B$4,Base_Limpa!$C:$C,$A63)=0,"",SUMIFS(Base_Limpa!$D:$D,Base_Limpa!$A:$A,$B$4,Base_Limpa!$C:$C,$A63))</f>
        <v>795802506.36500001</v>
      </c>
      <c r="G63" s="6">
        <f>IF(SUMIFS(Base_Limpa!$H:$H,Base_Limpa!$A:$A,$B$4,Base_Limpa!$C:$C,$A63)=0,"",SUMIFS(Base_Limpa!$H:$H,Base_Limpa!$A:$A,$B$4,Base_Limpa!$C:$C,$A63))</f>
        <v>9570593.4619219992</v>
      </c>
      <c r="H63" s="6">
        <f t="shared" si="0"/>
        <v>0.27926154415930998</v>
      </c>
      <c r="I63" s="6">
        <f t="shared" si="1"/>
        <v>0.26711958763971061</v>
      </c>
      <c r="J63" s="6"/>
      <c r="K63" s="6">
        <v>2022</v>
      </c>
      <c r="L63" s="6">
        <f t="shared" si="2"/>
        <v>4.3064799643108588E-2</v>
      </c>
      <c r="M63" s="6"/>
      <c r="N63" s="6">
        <v>2022</v>
      </c>
      <c r="O63" s="6">
        <f t="shared" si="3"/>
        <v>0.27926154415930998</v>
      </c>
      <c r="P63" s="6">
        <f t="shared" si="4"/>
        <v>0.26711958763971061</v>
      </c>
    </row>
    <row r="64" spans="1:16" ht="0.95" customHeight="1">
      <c r="A64" s="6">
        <v>2023</v>
      </c>
      <c r="B64" s="6">
        <f>IF(SUMIFS(Base_Limpa!$E:$E,Base_Limpa!$A:$A,$B$4,Base_Limpa!$C:$C,$A64)=0,"",SUMIFS(Base_Limpa!$E:$E,Base_Limpa!$A:$A,$B$4,Base_Limpa!$C:$C,$A64))</f>
        <v>238987186.78058401</v>
      </c>
      <c r="C64" s="6">
        <f>IF(SUMIFS(Base_Limpa!$F:$F,Base_Limpa!$A:$A,$B$4,Base_Limpa!$C:$C,$A64)=0,"",SUMIFS(Base_Limpa!$F:$F,Base_Limpa!$A:$A,$B$4,Base_Limpa!$C:$C,$A64))</f>
        <v>217695400.67711699</v>
      </c>
      <c r="D64" s="6">
        <f>IF(SUMIFS(Base_Limpa!$G:$G,Base_Limpa!$A:$A,$B$4,Base_Limpa!$C:$C,$A64)=0,"",SUMIFS(Base_Limpa!$G:$G,Base_Limpa!$A:$A,$B$4,Base_Limpa!$C:$C,$A64))</f>
        <v>21291786.103467017</v>
      </c>
      <c r="E64" s="6">
        <f>IF(SUMIFS(Base_Limpa!$I:$I,Base_Limpa!$A:$A,$B$4,Base_Limpa!$C:$C,$A64)=0,"",SUMIFS(Base_Limpa!$I:$I,Base_Limpa!$A:$A,$B$4,Base_Limpa!$C:$C,$A64))</f>
        <v>3.3881628825005464E-2</v>
      </c>
      <c r="F64" s="6">
        <f>IF(SUMIFS(Base_Limpa!$D:$D,Base_Limpa!$A:$A,$B$4,Base_Limpa!$C:$C,$A64)=0,"",SUMIFS(Base_Limpa!$D:$D,Base_Limpa!$A:$A,$B$4,Base_Limpa!$C:$C,$A64))</f>
        <v>849154242.09000003</v>
      </c>
      <c r="G64" s="6">
        <f>IF(SUMIFS(Base_Limpa!$H:$H,Base_Limpa!$A:$A,$B$4,Base_Limpa!$C:$C,$A64)=0,"",SUMIFS(Base_Limpa!$H:$H,Base_Limpa!$A:$A,$B$4,Base_Limpa!$C:$C,$A64))</f>
        <v>8097275.156432</v>
      </c>
      <c r="H64" s="6">
        <f t="shared" si="0"/>
        <v>0.28144143305740477</v>
      </c>
      <c r="I64" s="6">
        <f t="shared" si="1"/>
        <v>0.25636732396379397</v>
      </c>
      <c r="J64" s="6"/>
      <c r="K64" s="6">
        <v>2023</v>
      </c>
      <c r="L64" s="6">
        <f t="shared" si="2"/>
        <v>3.3881628825005464E-2</v>
      </c>
      <c r="M64" s="6"/>
      <c r="N64" s="6">
        <v>2023</v>
      </c>
      <c r="O64" s="6">
        <f t="shared" si="3"/>
        <v>0.28144143305740477</v>
      </c>
      <c r="P64" s="6">
        <f t="shared" si="4"/>
        <v>0.25636732396379397</v>
      </c>
    </row>
    <row r="65" spans="1:16" ht="0.95" customHeight="1">
      <c r="A65" s="6">
        <v>2024</v>
      </c>
      <c r="B65" s="6">
        <f>IF(SUMIFS(Base_Limpa!$E:$E,Base_Limpa!$A:$A,$B$4,Base_Limpa!$C:$C,$A65)=0,"",SUMIFS(Base_Limpa!$E:$E,Base_Limpa!$A:$A,$B$4,Base_Limpa!$C:$C,$A65))</f>
        <v>103540289.40000001</v>
      </c>
      <c r="C65" s="6">
        <f>IF(SUMIFS(Base_Limpa!$F:$F,Base_Limpa!$A:$A,$B$4,Base_Limpa!$C:$C,$A65)=0,"",SUMIFS(Base_Limpa!$F:$F,Base_Limpa!$A:$A,$B$4,Base_Limpa!$C:$C,$A65))</f>
        <v>98601575.040000007</v>
      </c>
      <c r="D65" s="6">
        <f>IF(SUMIFS(Base_Limpa!$G:$G,Base_Limpa!$A:$A,$B$4,Base_Limpa!$C:$C,$A65)=0,"",SUMIFS(Base_Limpa!$G:$G,Base_Limpa!$A:$A,$B$4,Base_Limpa!$C:$C,$A65))</f>
        <v>4938714.3600000003</v>
      </c>
      <c r="E65" s="6">
        <f>IF(SUMIFS(Base_Limpa!$I:$I,Base_Limpa!$A:$A,$B$4,Base_Limpa!$C:$C,$A65)=0,"",SUMIFS(Base_Limpa!$I:$I,Base_Limpa!$A:$A,$B$4,Base_Limpa!$C:$C,$A65))</f>
        <v>2.645902378557578E-2</v>
      </c>
      <c r="F65" s="6" t="str">
        <f>IF(SUMIFS(Base_Limpa!$D:$D,Base_Limpa!$A:$A,$B$4,Base_Limpa!$C:$C,$A65)=0,"",SUMIFS(Base_Limpa!$D:$D,Base_Limpa!$A:$A,$B$4,Base_Limpa!$C:$C,$A65))</f>
        <v/>
      </c>
      <c r="G65" s="6">
        <f>IF(SUMIFS(Base_Limpa!$H:$H,Base_Limpa!$A:$A,$B$4,Base_Limpa!$C:$C,$A65)=0,"",SUMIFS(Base_Limpa!$H:$H,Base_Limpa!$A:$A,$B$4,Base_Limpa!$C:$C,$A65))</f>
        <v>2739574.98</v>
      </c>
      <c r="H65" s="6" t="str">
        <f t="shared" si="0"/>
        <v/>
      </c>
      <c r="I65" s="6" t="str">
        <f t="shared" si="1"/>
        <v/>
      </c>
      <c r="J65" s="6"/>
      <c r="K65" s="6">
        <v>2024</v>
      </c>
      <c r="L65" s="6">
        <f t="shared" si="2"/>
        <v>2.645902378557578E-2</v>
      </c>
      <c r="M65" s="6"/>
      <c r="N65" s="6">
        <v>2024</v>
      </c>
      <c r="O65" s="6" t="str">
        <f t="shared" si="3"/>
        <v/>
      </c>
      <c r="P65" s="6" t="str">
        <f t="shared" si="4"/>
        <v/>
      </c>
    </row>
    <row r="66" spans="1:16" ht="0.95" customHeight="1">
      <c r="A66" s="6">
        <v>2025</v>
      </c>
      <c r="B66" s="6" t="str">
        <f>IF(SUMIFS(Base_Limpa!$E:$E,Base_Limpa!$A:$A,$B$4,Base_Limpa!$C:$C,$A66)=0,"",SUMIFS(Base_Limpa!$E:$E,Base_Limpa!$A:$A,$B$4,Base_Limpa!$C:$C,$A66))</f>
        <v/>
      </c>
      <c r="C66" s="6" t="str">
        <f>IF(SUMIFS(Base_Limpa!$F:$F,Base_Limpa!$A:$A,$B$4,Base_Limpa!$C:$C,$A66)=0,"",SUMIFS(Base_Limpa!$F:$F,Base_Limpa!$A:$A,$B$4,Base_Limpa!$C:$C,$A66))</f>
        <v/>
      </c>
      <c r="D66" s="6" t="str">
        <f>IF(SUMIFS(Base_Limpa!$G:$G,Base_Limpa!$A:$A,$B$4,Base_Limpa!$C:$C,$A66)=0,"",SUMIFS(Base_Limpa!$G:$G,Base_Limpa!$A:$A,$B$4,Base_Limpa!$C:$C,$A66))</f>
        <v/>
      </c>
      <c r="E66" s="6" t="str">
        <f>IF(SUMIFS(Base_Limpa!$I:$I,Base_Limpa!$A:$A,$B$4,Base_Limpa!$C:$C,$A66)=0,"",SUMIFS(Base_Limpa!$I:$I,Base_Limpa!$A:$A,$B$4,Base_Limpa!$C:$C,$A66))</f>
        <v/>
      </c>
      <c r="F66" s="6" t="str">
        <f>IF(SUMIFS(Base_Limpa!$D:$D,Base_Limpa!$A:$A,$B$4,Base_Limpa!$C:$C,$A66)=0,"",SUMIFS(Base_Limpa!$D:$D,Base_Limpa!$A:$A,$B$4,Base_Limpa!$C:$C,$A66))</f>
        <v/>
      </c>
      <c r="G66" s="6" t="str">
        <f>IF(SUMIFS(Base_Limpa!$H:$H,Base_Limpa!$A:$A,$B$4,Base_Limpa!$C:$C,$A66)=0,"",SUMIFS(Base_Limpa!$H:$H,Base_Limpa!$A:$A,$B$4,Base_Limpa!$C:$C,$A66))</f>
        <v/>
      </c>
      <c r="H66" s="6" t="str">
        <f t="shared" si="0"/>
        <v/>
      </c>
      <c r="I66" s="6" t="str">
        <f t="shared" si="1"/>
        <v/>
      </c>
      <c r="J66" s="6"/>
      <c r="K66" s="6">
        <v>2025</v>
      </c>
      <c r="L66" s="6" t="str">
        <f t="shared" si="2"/>
        <v/>
      </c>
      <c r="M66" s="6"/>
      <c r="N66" s="6">
        <v>2025</v>
      </c>
      <c r="O66" s="6" t="str">
        <f t="shared" si="3"/>
        <v/>
      </c>
      <c r="P66" s="6" t="str">
        <f t="shared" si="4"/>
        <v/>
      </c>
    </row>
  </sheetData>
  <mergeCells count="23">
    <mergeCell ref="A1:O1"/>
    <mergeCell ref="A2:O2"/>
    <mergeCell ref="B4:C4"/>
    <mergeCell ref="A12:O12"/>
    <mergeCell ref="A14:H14"/>
    <mergeCell ref="I14:O14"/>
    <mergeCell ref="M9:O9"/>
    <mergeCell ref="A33:H33"/>
    <mergeCell ref="I33:O33"/>
    <mergeCell ref="A6:C6"/>
    <mergeCell ref="A8:C8"/>
    <mergeCell ref="A9:C9"/>
    <mergeCell ref="D6:F6"/>
    <mergeCell ref="D8:F8"/>
    <mergeCell ref="D9:F9"/>
    <mergeCell ref="G6:I6"/>
    <mergeCell ref="G8:I8"/>
    <mergeCell ref="G9:I9"/>
    <mergeCell ref="J6:L6"/>
    <mergeCell ref="J8:L8"/>
    <mergeCell ref="J9:L9"/>
    <mergeCell ref="M6:O6"/>
    <mergeCell ref="M8:O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Apoio!$A$2:$A$4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workbookViewId="0">
      <selection activeCell="D9" sqref="D9"/>
    </sheetView>
  </sheetViews>
  <sheetFormatPr defaultRowHeight="14.25"/>
  <cols>
    <col min="1" max="1" width="11.125" bestFit="1" customWidth="1"/>
    <col min="2" max="2" width="8.375" bestFit="1" customWidth="1"/>
    <col min="3" max="3" width="4.875" bestFit="1" customWidth="1"/>
    <col min="4" max="4" width="11.875" bestFit="1" customWidth="1"/>
    <col min="5" max="5" width="12.125" bestFit="1" customWidth="1"/>
    <col min="6" max="6" width="13.25" bestFit="1" customWidth="1"/>
    <col min="7" max="7" width="14.5" bestFit="1" customWidth="1"/>
    <col min="8" max="8" width="19.375" bestFit="1" customWidth="1"/>
    <col min="9" max="9" width="12.25" bestFit="1" customWidth="1"/>
    <col min="10" max="10" width="15.375" bestFit="1" customWidth="1"/>
    <col min="11" max="11" width="10.25" bestFit="1" customWidth="1"/>
    <col min="12" max="12" width="8.25" bestFit="1" customWidth="1"/>
    <col min="13" max="13" width="53.375" bestFit="1" customWidth="1"/>
  </cols>
  <sheetData>
    <row r="1" spans="1:13" ht="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2014</v>
      </c>
      <c r="D2">
        <v>685071504.89400005</v>
      </c>
      <c r="E2">
        <v>107688979.28769501</v>
      </c>
      <c r="F2">
        <v>120048796.37991501</v>
      </c>
      <c r="G2">
        <v>-12359817.092220008</v>
      </c>
      <c r="H2">
        <v>3511057.5347200003</v>
      </c>
      <c r="I2">
        <v>3.2603684777623189E-2</v>
      </c>
      <c r="K2">
        <v>1.8587</v>
      </c>
      <c r="L2" t="s">
        <v>15</v>
      </c>
    </row>
    <row r="3" spans="1:13">
      <c r="A3" t="s">
        <v>13</v>
      </c>
      <c r="B3" t="s">
        <v>14</v>
      </c>
      <c r="C3">
        <v>2015</v>
      </c>
      <c r="D3">
        <v>674290522.93499994</v>
      </c>
      <c r="E3">
        <v>119908285.39630198</v>
      </c>
      <c r="F3">
        <v>102090608.674941</v>
      </c>
      <c r="G3">
        <v>17817676.721360981</v>
      </c>
      <c r="H3">
        <v>3615648.4724429995</v>
      </c>
      <c r="I3">
        <v>3.0153449867898013E-2</v>
      </c>
      <c r="K3">
        <v>1.7246999999999999</v>
      </c>
      <c r="L3" t="s">
        <v>15</v>
      </c>
    </row>
    <row r="4" spans="1:13">
      <c r="A4" t="s">
        <v>13</v>
      </c>
      <c r="B4" t="s">
        <v>14</v>
      </c>
      <c r="C4">
        <v>2016</v>
      </c>
      <c r="D4">
        <v>728663188.73600006</v>
      </c>
      <c r="E4">
        <v>119539573.305516</v>
      </c>
      <c r="F4">
        <v>110498214.00881201</v>
      </c>
      <c r="G4">
        <v>9041359.2967039943</v>
      </c>
      <c r="H4">
        <v>3947788.7531319996</v>
      </c>
      <c r="I4">
        <v>3.3024952691125542E-2</v>
      </c>
      <c r="K4">
        <v>1.6226</v>
      </c>
      <c r="L4" t="s">
        <v>15</v>
      </c>
    </row>
    <row r="5" spans="1:13">
      <c r="A5" t="s">
        <v>13</v>
      </c>
      <c r="B5" t="s">
        <v>14</v>
      </c>
      <c r="C5">
        <v>2017</v>
      </c>
      <c r="D5">
        <v>781347020.07099998</v>
      </c>
      <c r="E5">
        <v>133020094.84358601</v>
      </c>
      <c r="F5">
        <v>124212602.07742001</v>
      </c>
      <c r="G5">
        <v>8807492.7661660016</v>
      </c>
      <c r="H5">
        <v>4714246.9880480003</v>
      </c>
      <c r="I5">
        <v>3.544011146279312E-2</v>
      </c>
      <c r="K5">
        <v>1.5761000000000001</v>
      </c>
      <c r="L5" t="s">
        <v>15</v>
      </c>
    </row>
    <row r="6" spans="1:13">
      <c r="A6" t="s">
        <v>13</v>
      </c>
      <c r="B6" t="s">
        <v>14</v>
      </c>
      <c r="C6">
        <v>2018</v>
      </c>
      <c r="D6">
        <v>750010067.19099998</v>
      </c>
      <c r="E6">
        <v>137600897.843079</v>
      </c>
      <c r="F6">
        <v>114534006.23878399</v>
      </c>
      <c r="G6">
        <v>23066891.604295015</v>
      </c>
      <c r="H6">
        <v>10633.7</v>
      </c>
      <c r="I6">
        <v>7.7279292262516654E-5</v>
      </c>
      <c r="K6">
        <v>1.5190999999999999</v>
      </c>
      <c r="L6" t="s">
        <v>15</v>
      </c>
      <c r="M6" t="s">
        <v>16</v>
      </c>
    </row>
    <row r="7" spans="1:13">
      <c r="A7" t="s">
        <v>13</v>
      </c>
      <c r="B7" t="s">
        <v>14</v>
      </c>
      <c r="C7">
        <v>2019</v>
      </c>
      <c r="D7">
        <v>728870511.99599993</v>
      </c>
      <c r="G7">
        <v>0</v>
      </c>
      <c r="K7">
        <v>1.4563999999999999</v>
      </c>
      <c r="L7" t="s">
        <v>15</v>
      </c>
      <c r="M7" t="s">
        <v>17</v>
      </c>
    </row>
    <row r="8" spans="1:13">
      <c r="A8" t="s">
        <v>13</v>
      </c>
      <c r="B8" t="s">
        <v>14</v>
      </c>
      <c r="C8">
        <v>2020</v>
      </c>
      <c r="D8">
        <v>775102103.38399994</v>
      </c>
      <c r="E8">
        <v>182420052.63411799</v>
      </c>
      <c r="F8">
        <v>165995793.87628201</v>
      </c>
      <c r="G8">
        <v>16424258.757835984</v>
      </c>
      <c r="H8">
        <v>6794078.5583759993</v>
      </c>
      <c r="I8">
        <v>3.7244143175437852E-2</v>
      </c>
      <c r="K8">
        <v>1.3934</v>
      </c>
      <c r="L8" t="s">
        <v>15</v>
      </c>
    </row>
    <row r="9" spans="1:13">
      <c r="A9" t="s">
        <v>13</v>
      </c>
      <c r="B9" t="s">
        <v>14</v>
      </c>
      <c r="C9">
        <v>2021</v>
      </c>
      <c r="D9">
        <v>790937711.47800004</v>
      </c>
      <c r="E9">
        <v>206016720.105306</v>
      </c>
      <c r="F9">
        <v>183745862.52401701</v>
      </c>
      <c r="G9">
        <v>22270857.581289023</v>
      </c>
      <c r="H9">
        <v>7537822.5581999999</v>
      </c>
      <c r="I9">
        <v>3.6588401923625523E-2</v>
      </c>
      <c r="K9">
        <v>1.2650999999999999</v>
      </c>
      <c r="L9" t="s">
        <v>15</v>
      </c>
    </row>
    <row r="10" spans="1:13">
      <c r="A10" t="s">
        <v>13</v>
      </c>
      <c r="B10" t="s">
        <v>14</v>
      </c>
      <c r="C10">
        <v>2022</v>
      </c>
      <c r="D10">
        <v>795802506.36500001</v>
      </c>
      <c r="E10">
        <v>222237036.773339</v>
      </c>
      <c r="F10">
        <v>212574437.34286699</v>
      </c>
      <c r="G10">
        <v>9662599.4304720163</v>
      </c>
      <c r="H10">
        <v>9570593.4619219992</v>
      </c>
      <c r="I10">
        <v>4.3064799643108588E-2</v>
      </c>
      <c r="K10">
        <v>1.1959</v>
      </c>
      <c r="L10" t="s">
        <v>15</v>
      </c>
    </row>
    <row r="11" spans="1:13">
      <c r="A11" t="s">
        <v>13</v>
      </c>
      <c r="B11" t="s">
        <v>14</v>
      </c>
      <c r="C11">
        <v>2023</v>
      </c>
      <c r="D11">
        <v>849154242.09000003</v>
      </c>
      <c r="E11">
        <v>238987186.78058401</v>
      </c>
      <c r="F11">
        <v>217695400.67711699</v>
      </c>
      <c r="G11">
        <v>21291786.103467017</v>
      </c>
      <c r="H11">
        <v>8097275.156432</v>
      </c>
      <c r="I11">
        <v>3.3881628825005464E-2</v>
      </c>
      <c r="K11">
        <v>1.1429</v>
      </c>
      <c r="L11" t="s">
        <v>15</v>
      </c>
    </row>
    <row r="12" spans="1:13">
      <c r="A12" t="s">
        <v>13</v>
      </c>
      <c r="B12" t="s">
        <v>14</v>
      </c>
      <c r="C12">
        <v>2024</v>
      </c>
      <c r="E12">
        <v>103540289.40000001</v>
      </c>
      <c r="F12">
        <v>98601575.040000007</v>
      </c>
      <c r="G12">
        <v>4938714.3600000003</v>
      </c>
      <c r="H12">
        <v>2739574.98</v>
      </c>
      <c r="I12">
        <v>2.645902378557578E-2</v>
      </c>
      <c r="K12">
        <v>1</v>
      </c>
      <c r="L12" t="s">
        <v>15</v>
      </c>
      <c r="M12" t="s">
        <v>18</v>
      </c>
    </row>
    <row r="13" spans="1:13">
      <c r="A13" t="s">
        <v>19</v>
      </c>
      <c r="B13" t="s">
        <v>14</v>
      </c>
      <c r="C13">
        <v>2014</v>
      </c>
      <c r="D13">
        <v>711603573.80500007</v>
      </c>
      <c r="E13">
        <v>107688979.28769501</v>
      </c>
      <c r="F13">
        <v>90275362.415813997</v>
      </c>
      <c r="G13">
        <v>17413616.871881008</v>
      </c>
      <c r="H13">
        <v>1229859.52</v>
      </c>
      <c r="I13">
        <v>1.1420477082565578E-2</v>
      </c>
      <c r="K13">
        <v>1.8587</v>
      </c>
      <c r="L13" t="s">
        <v>15</v>
      </c>
      <c r="M13" t="s">
        <v>20</v>
      </c>
    </row>
    <row r="14" spans="1:13">
      <c r="A14" t="s">
        <v>19</v>
      </c>
      <c r="B14" t="s">
        <v>14</v>
      </c>
      <c r="C14">
        <v>2015</v>
      </c>
      <c r="D14">
        <v>695399384.94000006</v>
      </c>
      <c r="E14">
        <v>99134904.343140006</v>
      </c>
      <c r="F14">
        <v>74237208.115197003</v>
      </c>
      <c r="G14">
        <v>24897696.227943018</v>
      </c>
      <c r="H14">
        <v>997823.52</v>
      </c>
      <c r="I14">
        <v>1.0065309757562176E-2</v>
      </c>
      <c r="K14">
        <v>1.7246999999999999</v>
      </c>
      <c r="L14" t="s">
        <v>15</v>
      </c>
    </row>
    <row r="15" spans="1:13">
      <c r="A15" t="s">
        <v>19</v>
      </c>
      <c r="B15" t="s">
        <v>14</v>
      </c>
      <c r="C15">
        <v>2016</v>
      </c>
      <c r="D15">
        <v>645838399.26199996</v>
      </c>
      <c r="E15">
        <v>96759329.350096002</v>
      </c>
      <c r="F15">
        <v>56872715.450305998</v>
      </c>
      <c r="G15">
        <v>39886613.899789996</v>
      </c>
      <c r="H15">
        <v>785170.38</v>
      </c>
      <c r="I15">
        <v>8.1146736472209845E-3</v>
      </c>
      <c r="K15">
        <v>1.6226</v>
      </c>
      <c r="L15" t="s">
        <v>15</v>
      </c>
    </row>
    <row r="16" spans="1:13">
      <c r="A16" t="s">
        <v>19</v>
      </c>
      <c r="B16" t="s">
        <v>14</v>
      </c>
      <c r="C16">
        <v>2017</v>
      </c>
      <c r="D16">
        <v>684036840.83899999</v>
      </c>
      <c r="E16">
        <v>105448870.73287001</v>
      </c>
      <c r="F16">
        <v>96406658.37747401</v>
      </c>
      <c r="G16">
        <v>9042212.3553960025</v>
      </c>
      <c r="H16">
        <v>1154661.6299999999</v>
      </c>
      <c r="I16">
        <v>1.0949966765647632E-2</v>
      </c>
      <c r="K16">
        <v>1.5761000000000001</v>
      </c>
      <c r="L16" t="s">
        <v>15</v>
      </c>
    </row>
    <row r="17" spans="1:13">
      <c r="A17" t="s">
        <v>19</v>
      </c>
      <c r="B17" t="s">
        <v>14</v>
      </c>
      <c r="C17">
        <v>2018</v>
      </c>
      <c r="D17">
        <v>787222594.00399995</v>
      </c>
      <c r="E17">
        <v>127321219.009094</v>
      </c>
      <c r="F17">
        <v>129882220.00933298</v>
      </c>
      <c r="G17">
        <v>-2561001.0002389848</v>
      </c>
      <c r="H17">
        <v>2381736.2400000002</v>
      </c>
      <c r="I17">
        <v>1.8706514582065722E-2</v>
      </c>
      <c r="K17">
        <v>1.5190999999999999</v>
      </c>
      <c r="L17" t="s">
        <v>15</v>
      </c>
    </row>
    <row r="18" spans="1:13">
      <c r="A18" t="s">
        <v>19</v>
      </c>
      <c r="B18" t="s">
        <v>14</v>
      </c>
      <c r="C18">
        <v>2019</v>
      </c>
      <c r="D18">
        <v>697344680.472</v>
      </c>
      <c r="E18">
        <v>132718282.96808399</v>
      </c>
      <c r="F18">
        <v>122213146.017776</v>
      </c>
      <c r="G18">
        <v>10505136.950307995</v>
      </c>
      <c r="H18">
        <v>1917798.84</v>
      </c>
      <c r="I18">
        <v>1.4450148066345848E-2</v>
      </c>
      <c r="K18">
        <v>1.4563999999999999</v>
      </c>
      <c r="L18" t="s">
        <v>15</v>
      </c>
    </row>
    <row r="19" spans="1:13">
      <c r="A19" t="s">
        <v>19</v>
      </c>
      <c r="B19" t="s">
        <v>14</v>
      </c>
      <c r="C19">
        <v>2020</v>
      </c>
      <c r="D19">
        <v>700857877.73199999</v>
      </c>
      <c r="E19">
        <v>151042324.596248</v>
      </c>
      <c r="F19">
        <v>145674056.354664</v>
      </c>
      <c r="G19">
        <v>5368268.241584003</v>
      </c>
      <c r="H19">
        <v>2321119.2999999998</v>
      </c>
      <c r="I19">
        <v>1.5367343598587982E-2</v>
      </c>
      <c r="K19">
        <v>1.3934</v>
      </c>
      <c r="L19" t="s">
        <v>15</v>
      </c>
    </row>
    <row r="20" spans="1:13">
      <c r="A20" t="s">
        <v>19</v>
      </c>
      <c r="B20" t="s">
        <v>14</v>
      </c>
      <c r="C20">
        <v>2021</v>
      </c>
      <c r="D20">
        <v>718622432.15699995</v>
      </c>
      <c r="E20">
        <v>167932746.946365</v>
      </c>
      <c r="F20">
        <v>159122129.80959597</v>
      </c>
      <c r="G20">
        <v>8810617.1367690265</v>
      </c>
      <c r="H20">
        <v>3069955.26</v>
      </c>
      <c r="I20">
        <v>1.8280861331831211E-2</v>
      </c>
      <c r="K20">
        <v>1.2650999999999999</v>
      </c>
      <c r="L20" t="s">
        <v>15</v>
      </c>
    </row>
    <row r="21" spans="1:13">
      <c r="A21" t="s">
        <v>19</v>
      </c>
      <c r="B21" t="s">
        <v>14</v>
      </c>
      <c r="C21">
        <v>2022</v>
      </c>
      <c r="D21">
        <v>692118095.95500004</v>
      </c>
      <c r="E21">
        <v>195333940.48663998</v>
      </c>
      <c r="F21">
        <v>192334857.98201498</v>
      </c>
      <c r="G21">
        <v>2999082.5046249926</v>
      </c>
      <c r="H21">
        <v>5344479.6900000004</v>
      </c>
      <c r="I21">
        <v>2.7360732480413666E-2</v>
      </c>
      <c r="K21">
        <v>1.1959</v>
      </c>
      <c r="L21" t="s">
        <v>15</v>
      </c>
    </row>
    <row r="22" spans="1:13">
      <c r="A22" t="s">
        <v>19</v>
      </c>
      <c r="B22" t="s">
        <v>14</v>
      </c>
      <c r="C22">
        <v>2023</v>
      </c>
      <c r="D22">
        <v>781332338.86399996</v>
      </c>
      <c r="E22">
        <v>219323925.99595499</v>
      </c>
      <c r="F22">
        <v>209056393.37792003</v>
      </c>
      <c r="G22">
        <v>10267532.618034959</v>
      </c>
      <c r="H22">
        <v>5888775.5599999996</v>
      </c>
      <c r="I22">
        <v>2.6849672388723368E-2</v>
      </c>
      <c r="K22">
        <v>1.1429</v>
      </c>
      <c r="L22" t="s">
        <v>15</v>
      </c>
    </row>
    <row r="23" spans="1:13">
      <c r="A23" t="s">
        <v>19</v>
      </c>
      <c r="B23" t="s">
        <v>14</v>
      </c>
      <c r="C23">
        <v>2024</v>
      </c>
      <c r="E23">
        <v>196960631.72999999</v>
      </c>
      <c r="F23">
        <v>192107576.69</v>
      </c>
      <c r="G23">
        <v>4853055.0399999917</v>
      </c>
      <c r="H23">
        <v>5961105.3899999997</v>
      </c>
      <c r="I23">
        <v>3.0265466441901322E-2</v>
      </c>
      <c r="K23">
        <v>1</v>
      </c>
      <c r="L23" t="s">
        <v>15</v>
      </c>
      <c r="M23" t="s">
        <v>18</v>
      </c>
    </row>
    <row r="24" spans="1:13">
      <c r="A24" t="s">
        <v>21</v>
      </c>
      <c r="B24" t="s">
        <v>22</v>
      </c>
      <c r="C24">
        <v>2016</v>
      </c>
      <c r="D24">
        <v>255.56</v>
      </c>
      <c r="E24">
        <v>91.535399999999996</v>
      </c>
      <c r="F24">
        <v>94.143600000000006</v>
      </c>
      <c r="G24">
        <v>-2.6082000000000001</v>
      </c>
      <c r="H24">
        <v>58.778799999999997</v>
      </c>
      <c r="I24">
        <v>0.64214282124729882</v>
      </c>
      <c r="J24">
        <v>0.23</v>
      </c>
      <c r="L24" t="s">
        <v>23</v>
      </c>
    </row>
    <row r="25" spans="1:13">
      <c r="A25" t="s">
        <v>21</v>
      </c>
      <c r="B25" t="s">
        <v>22</v>
      </c>
      <c r="C25">
        <v>2017</v>
      </c>
      <c r="D25">
        <v>379.71665999999999</v>
      </c>
      <c r="E25">
        <v>95.248999999999995</v>
      </c>
      <c r="F25">
        <v>96.362300000000005</v>
      </c>
      <c r="G25">
        <v>-1.1133</v>
      </c>
      <c r="H25">
        <v>86.575398480000004</v>
      </c>
      <c r="I25">
        <v>0.90893761068357681</v>
      </c>
      <c r="J25">
        <v>0.22800000000000001</v>
      </c>
      <c r="L25" t="s">
        <v>23</v>
      </c>
    </row>
    <row r="26" spans="1:13">
      <c r="A26" t="s">
        <v>21</v>
      </c>
      <c r="B26" t="s">
        <v>22</v>
      </c>
      <c r="C26">
        <v>2018</v>
      </c>
      <c r="D26">
        <v>431.13161000000002</v>
      </c>
      <c r="E26">
        <v>102.4192</v>
      </c>
      <c r="F26">
        <v>102.04989999999999</v>
      </c>
      <c r="G26">
        <v>0.36930000000000002</v>
      </c>
      <c r="H26">
        <v>96.142349030000005</v>
      </c>
      <c r="I26">
        <v>0.93871411834890317</v>
      </c>
      <c r="J26">
        <v>0.223</v>
      </c>
      <c r="L26" t="s">
        <v>23</v>
      </c>
    </row>
    <row r="27" spans="1:13">
      <c r="A27" t="s">
        <v>21</v>
      </c>
      <c r="B27" t="s">
        <v>22</v>
      </c>
      <c r="C27">
        <v>2019</v>
      </c>
      <c r="D27">
        <v>486.81126</v>
      </c>
      <c r="E27">
        <v>107.726</v>
      </c>
      <c r="F27">
        <v>105.896</v>
      </c>
      <c r="G27">
        <v>1.83</v>
      </c>
      <c r="H27">
        <v>106.12485468</v>
      </c>
      <c r="I27">
        <v>0.98513687206431133</v>
      </c>
      <c r="J27">
        <v>0.218</v>
      </c>
      <c r="L27" t="s">
        <v>23</v>
      </c>
    </row>
    <row r="28" spans="1:13">
      <c r="A28" t="s">
        <v>21</v>
      </c>
      <c r="B28" t="s">
        <v>22</v>
      </c>
      <c r="C28">
        <v>2020</v>
      </c>
      <c r="D28">
        <v>496.68639999999999</v>
      </c>
      <c r="E28">
        <v>103.0989</v>
      </c>
      <c r="F28">
        <v>124.6237</v>
      </c>
      <c r="G28">
        <v>-21.524799999999999</v>
      </c>
      <c r="H28">
        <v>96.357161599999998</v>
      </c>
      <c r="I28">
        <v>0.93460901716701128</v>
      </c>
      <c r="J28">
        <v>0.19400000000000001</v>
      </c>
      <c r="L28" t="s">
        <v>23</v>
      </c>
    </row>
    <row r="29" spans="1:13">
      <c r="A29" t="s">
        <v>21</v>
      </c>
      <c r="B29" t="s">
        <v>22</v>
      </c>
      <c r="C29">
        <v>2021</v>
      </c>
      <c r="D29">
        <v>533.90065000000004</v>
      </c>
      <c r="E29">
        <v>119.02200000000001</v>
      </c>
      <c r="F29">
        <v>126.19199999999999</v>
      </c>
      <c r="G29">
        <v>-7.17</v>
      </c>
      <c r="H29">
        <v>106.78013</v>
      </c>
      <c r="I29">
        <v>0.89714615785316998</v>
      </c>
      <c r="J29">
        <v>0.2</v>
      </c>
      <c r="L29" t="s">
        <v>23</v>
      </c>
    </row>
    <row r="30" spans="1:13">
      <c r="A30" t="s">
        <v>21</v>
      </c>
      <c r="B30" t="s">
        <v>22</v>
      </c>
      <c r="C30">
        <v>2022</v>
      </c>
      <c r="D30">
        <v>634.90350000000001</v>
      </c>
      <c r="E30">
        <v>125.09520000000001</v>
      </c>
      <c r="F30">
        <v>119.4393</v>
      </c>
      <c r="G30">
        <v>5.6558999999999999</v>
      </c>
      <c r="H30">
        <v>128.88541050000001</v>
      </c>
      <c r="I30">
        <v>1.0302986085797057</v>
      </c>
      <c r="J30">
        <v>0.20300000000000001</v>
      </c>
      <c r="L30" t="s">
        <v>23</v>
      </c>
    </row>
    <row r="31" spans="1:13">
      <c r="A31" t="s">
        <v>21</v>
      </c>
      <c r="B31" t="s">
        <v>22</v>
      </c>
      <c r="C31">
        <v>2023</v>
      </c>
      <c r="D31">
        <v>608.36413000000005</v>
      </c>
      <c r="E31">
        <v>129.1234</v>
      </c>
      <c r="F31">
        <v>121.6138</v>
      </c>
      <c r="G31">
        <v>7.5095999999999998</v>
      </c>
      <c r="H31">
        <v>129.58155969000001</v>
      </c>
      <c r="I31">
        <v>1.0035482313043185</v>
      </c>
      <c r="J31">
        <v>0.21299999999999999</v>
      </c>
      <c r="L31" t="s">
        <v>23</v>
      </c>
    </row>
    <row r="32" spans="1:13">
      <c r="A32" t="s">
        <v>21</v>
      </c>
      <c r="B32" t="s">
        <v>22</v>
      </c>
      <c r="C32">
        <v>2024</v>
      </c>
      <c r="D32">
        <v>575.09977000000003</v>
      </c>
      <c r="E32">
        <v>151.86920000000001</v>
      </c>
      <c r="F32">
        <v>128.46539999999999</v>
      </c>
      <c r="G32">
        <v>23.4038</v>
      </c>
      <c r="H32">
        <v>124.79665009</v>
      </c>
      <c r="I32">
        <v>0.82173771962978659</v>
      </c>
      <c r="J32">
        <v>0.217</v>
      </c>
      <c r="L32" t="s">
        <v>23</v>
      </c>
    </row>
    <row r="33" spans="1:13">
      <c r="A33" t="s">
        <v>21</v>
      </c>
      <c r="B33" t="s">
        <v>22</v>
      </c>
      <c r="C33">
        <v>2025</v>
      </c>
      <c r="D33">
        <v>590.09258</v>
      </c>
      <c r="E33">
        <v>149.5</v>
      </c>
      <c r="F33">
        <v>133.9</v>
      </c>
      <c r="G33">
        <v>15.6</v>
      </c>
      <c r="L33" t="s">
        <v>23</v>
      </c>
      <c r="M33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workbookViewId="0">
      <selection sqref="A1:L1"/>
    </sheetView>
  </sheetViews>
  <sheetFormatPr defaultRowHeight="14.25"/>
  <cols>
    <col min="1" max="1" width="34.75" customWidth="1"/>
    <col min="2" max="2" width="12.375" customWidth="1"/>
    <col min="3" max="3" width="13.75" customWidth="1"/>
    <col min="4" max="4" width="12.75" customWidth="1"/>
    <col min="5" max="5" width="14.5" customWidth="1"/>
    <col min="6" max="6" width="9.125" customWidth="1"/>
    <col min="7" max="7" width="9.375" customWidth="1"/>
  </cols>
  <sheetData>
    <row r="1" spans="1:12" ht="27.75">
      <c r="A1" s="26" t="s">
        <v>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3" spans="1:12" ht="15">
      <c r="A3" s="1" t="s">
        <v>0</v>
      </c>
      <c r="B3" s="1" t="s">
        <v>43</v>
      </c>
      <c r="C3" s="1" t="s">
        <v>36</v>
      </c>
      <c r="D3" s="1" t="s">
        <v>37</v>
      </c>
      <c r="E3" s="1" t="s">
        <v>38</v>
      </c>
      <c r="F3" s="1" t="s">
        <v>8</v>
      </c>
      <c r="G3" s="1" t="s">
        <v>40</v>
      </c>
    </row>
    <row r="4" spans="1:12">
      <c r="A4" t="s">
        <v>13</v>
      </c>
      <c r="B4">
        <v>2024</v>
      </c>
      <c r="C4" s="7">
        <v>103540289.40000001</v>
      </c>
      <c r="D4" s="7">
        <v>98601575.040000007</v>
      </c>
      <c r="E4" s="7">
        <v>4938714.3600000003</v>
      </c>
      <c r="F4" s="8">
        <v>2.645902378557578E-2</v>
      </c>
      <c r="G4" s="8">
        <v>0.28144143305740477</v>
      </c>
    </row>
    <row r="5" spans="1:12">
      <c r="A5" t="s">
        <v>19</v>
      </c>
      <c r="B5">
        <v>2024</v>
      </c>
      <c r="C5" s="7">
        <v>196960631.72999999</v>
      </c>
      <c r="D5" s="7">
        <v>192107576.69</v>
      </c>
      <c r="E5" s="7">
        <v>4853055.0399999917</v>
      </c>
      <c r="F5" s="8">
        <v>3.0265466441901322E-2</v>
      </c>
      <c r="G5" s="8">
        <v>0.28071312067282539</v>
      </c>
    </row>
    <row r="6" spans="1:12">
      <c r="A6" t="s">
        <v>21</v>
      </c>
      <c r="B6">
        <v>2024</v>
      </c>
      <c r="C6" s="7">
        <v>151.86920000000001</v>
      </c>
      <c r="D6" s="7">
        <v>128.46539999999999</v>
      </c>
      <c r="E6" s="7">
        <v>23.4038</v>
      </c>
      <c r="F6" s="8">
        <v>0.82173771962978659</v>
      </c>
      <c r="G6" s="8">
        <v>0.26407346286866579</v>
      </c>
    </row>
    <row r="7" spans="1:12">
      <c r="A7" s="28" t="s">
        <v>44</v>
      </c>
      <c r="B7" s="27"/>
      <c r="C7" s="27"/>
      <c r="D7" s="27"/>
      <c r="E7" s="27"/>
      <c r="F7" s="27"/>
      <c r="G7" s="27"/>
    </row>
    <row r="9" spans="1:12" ht="16.5">
      <c r="A9" s="9" t="s">
        <v>45</v>
      </c>
    </row>
    <row r="10" spans="1:12" ht="15">
      <c r="A10" s="5" t="s">
        <v>2</v>
      </c>
      <c r="B10" s="5" t="s">
        <v>46</v>
      </c>
      <c r="C10" s="5" t="s">
        <v>47</v>
      </c>
      <c r="D10" s="5" t="s">
        <v>48</v>
      </c>
      <c r="E10" s="5" t="s">
        <v>49</v>
      </c>
    </row>
    <row r="11" spans="1:12">
      <c r="A11">
        <v>2014</v>
      </c>
      <c r="B11" s="7">
        <f>IFERROR(SUMIFS(Base_Limpa!$E:$E,Base_Limpa!$A:$A,"Lábrea/AM",Base_Limpa!$C:$C,$A11),NA())</f>
        <v>107688979.28769501</v>
      </c>
      <c r="C11" s="7">
        <f>IFERROR(SUMIFS(Base_Limpa!$E:$E,Base_Limpa!$A:$A,"Eirunepé/AM",Base_Limpa!$C:$C,$A11),NA())</f>
        <v>107688979.28769501</v>
      </c>
      <c r="D11" s="7">
        <f>IFERROR(SUMIFS(Base_Limpa!$F:$F,Base_Limpa!$A:$A,"Lábrea/AM",Base_Limpa!$C:$C,$A11),NA())</f>
        <v>120048796.37991501</v>
      </c>
      <c r="E11" s="7">
        <f>IFERROR(SUMIFS(Base_Limpa!$F:$F,Base_Limpa!$A:$A,"Eirunepé/AM",Base_Limpa!$C:$C,$A11),NA())</f>
        <v>90275362.415813997</v>
      </c>
    </row>
    <row r="12" spans="1:12">
      <c r="A12">
        <v>2015</v>
      </c>
      <c r="B12" s="7">
        <f>IFERROR(SUMIFS(Base_Limpa!$E:$E,Base_Limpa!$A:$A,"Lábrea/AM",Base_Limpa!$C:$C,$A12),NA())</f>
        <v>119908285.39630198</v>
      </c>
      <c r="C12" s="7">
        <f>IFERROR(SUMIFS(Base_Limpa!$E:$E,Base_Limpa!$A:$A,"Eirunepé/AM",Base_Limpa!$C:$C,$A12),NA())</f>
        <v>99134904.343140006</v>
      </c>
      <c r="D12" s="7">
        <f>IFERROR(SUMIFS(Base_Limpa!$F:$F,Base_Limpa!$A:$A,"Lábrea/AM",Base_Limpa!$C:$C,$A12),NA())</f>
        <v>102090608.674941</v>
      </c>
      <c r="E12" s="7">
        <f>IFERROR(SUMIFS(Base_Limpa!$F:$F,Base_Limpa!$A:$A,"Eirunepé/AM",Base_Limpa!$C:$C,$A12),NA())</f>
        <v>74237208.115197003</v>
      </c>
    </row>
    <row r="13" spans="1:12">
      <c r="A13">
        <v>2016</v>
      </c>
      <c r="B13" s="7">
        <f>IFERROR(SUMIFS(Base_Limpa!$E:$E,Base_Limpa!$A:$A,"Lábrea/AM",Base_Limpa!$C:$C,$A13),NA())</f>
        <v>119539573.305516</v>
      </c>
      <c r="C13" s="7">
        <f>IFERROR(SUMIFS(Base_Limpa!$E:$E,Base_Limpa!$A:$A,"Eirunepé/AM",Base_Limpa!$C:$C,$A13),NA())</f>
        <v>96759329.350096002</v>
      </c>
      <c r="D13" s="7">
        <f>IFERROR(SUMIFS(Base_Limpa!$F:$F,Base_Limpa!$A:$A,"Lábrea/AM",Base_Limpa!$C:$C,$A13),NA())</f>
        <v>110498214.00881201</v>
      </c>
      <c r="E13" s="7">
        <f>IFERROR(SUMIFS(Base_Limpa!$F:$F,Base_Limpa!$A:$A,"Eirunepé/AM",Base_Limpa!$C:$C,$A13),NA())</f>
        <v>56872715.450305998</v>
      </c>
    </row>
    <row r="14" spans="1:12">
      <c r="A14">
        <v>2017</v>
      </c>
      <c r="B14" s="7">
        <f>IFERROR(SUMIFS(Base_Limpa!$E:$E,Base_Limpa!$A:$A,"Lábrea/AM",Base_Limpa!$C:$C,$A14),NA())</f>
        <v>133020094.84358601</v>
      </c>
      <c r="C14" s="7">
        <f>IFERROR(SUMIFS(Base_Limpa!$E:$E,Base_Limpa!$A:$A,"Eirunepé/AM",Base_Limpa!$C:$C,$A14),NA())</f>
        <v>105448870.73287001</v>
      </c>
      <c r="D14" s="7">
        <f>IFERROR(SUMIFS(Base_Limpa!$F:$F,Base_Limpa!$A:$A,"Lábrea/AM",Base_Limpa!$C:$C,$A14),NA())</f>
        <v>124212602.07742001</v>
      </c>
      <c r="E14" s="7">
        <f>IFERROR(SUMIFS(Base_Limpa!$F:$F,Base_Limpa!$A:$A,"Eirunepé/AM",Base_Limpa!$C:$C,$A14),NA())</f>
        <v>96406658.37747401</v>
      </c>
    </row>
    <row r="15" spans="1:12">
      <c r="A15">
        <v>2018</v>
      </c>
      <c r="B15" s="7">
        <f>IFERROR(SUMIFS(Base_Limpa!$E:$E,Base_Limpa!$A:$A,"Lábrea/AM",Base_Limpa!$C:$C,$A15),NA())</f>
        <v>137600897.843079</v>
      </c>
      <c r="C15" s="7">
        <f>IFERROR(SUMIFS(Base_Limpa!$E:$E,Base_Limpa!$A:$A,"Eirunepé/AM",Base_Limpa!$C:$C,$A15),NA())</f>
        <v>127321219.009094</v>
      </c>
      <c r="D15" s="7">
        <f>IFERROR(SUMIFS(Base_Limpa!$F:$F,Base_Limpa!$A:$A,"Lábrea/AM",Base_Limpa!$C:$C,$A15),NA())</f>
        <v>114534006.23878399</v>
      </c>
      <c r="E15" s="7">
        <f>IFERROR(SUMIFS(Base_Limpa!$F:$F,Base_Limpa!$A:$A,"Eirunepé/AM",Base_Limpa!$C:$C,$A15),NA())</f>
        <v>129882220.00933298</v>
      </c>
    </row>
    <row r="16" spans="1:12">
      <c r="A16">
        <v>2019</v>
      </c>
      <c r="B16" s="7">
        <f>IFERROR(SUMIFS(Base_Limpa!$E:$E,Base_Limpa!$A:$A,"Lábrea/AM",Base_Limpa!$C:$C,$A16),NA())</f>
        <v>0</v>
      </c>
      <c r="C16" s="7">
        <f>IFERROR(SUMIFS(Base_Limpa!$E:$E,Base_Limpa!$A:$A,"Eirunepé/AM",Base_Limpa!$C:$C,$A16),NA())</f>
        <v>132718282.96808399</v>
      </c>
      <c r="D16" s="7">
        <f>IFERROR(SUMIFS(Base_Limpa!$F:$F,Base_Limpa!$A:$A,"Lábrea/AM",Base_Limpa!$C:$C,$A16),NA())</f>
        <v>0</v>
      </c>
      <c r="E16" s="7">
        <f>IFERROR(SUMIFS(Base_Limpa!$F:$F,Base_Limpa!$A:$A,"Eirunepé/AM",Base_Limpa!$C:$C,$A16),NA())</f>
        <v>122213146.017776</v>
      </c>
    </row>
    <row r="17" spans="1:5">
      <c r="A17">
        <v>2020</v>
      </c>
      <c r="B17" s="7">
        <f>IFERROR(SUMIFS(Base_Limpa!$E:$E,Base_Limpa!$A:$A,"Lábrea/AM",Base_Limpa!$C:$C,$A17),NA())</f>
        <v>182420052.63411799</v>
      </c>
      <c r="C17" s="7">
        <f>IFERROR(SUMIFS(Base_Limpa!$E:$E,Base_Limpa!$A:$A,"Eirunepé/AM",Base_Limpa!$C:$C,$A17),NA())</f>
        <v>151042324.596248</v>
      </c>
      <c r="D17" s="7">
        <f>IFERROR(SUMIFS(Base_Limpa!$F:$F,Base_Limpa!$A:$A,"Lábrea/AM",Base_Limpa!$C:$C,$A17),NA())</f>
        <v>165995793.87628201</v>
      </c>
      <c r="E17" s="7">
        <f>IFERROR(SUMIFS(Base_Limpa!$F:$F,Base_Limpa!$A:$A,"Eirunepé/AM",Base_Limpa!$C:$C,$A17),NA())</f>
        <v>145674056.354664</v>
      </c>
    </row>
    <row r="18" spans="1:5">
      <c r="A18">
        <v>2021</v>
      </c>
      <c r="B18" s="7">
        <f>IFERROR(SUMIFS(Base_Limpa!$E:$E,Base_Limpa!$A:$A,"Lábrea/AM",Base_Limpa!$C:$C,$A18),NA())</f>
        <v>206016720.105306</v>
      </c>
      <c r="C18" s="7">
        <f>IFERROR(SUMIFS(Base_Limpa!$E:$E,Base_Limpa!$A:$A,"Eirunepé/AM",Base_Limpa!$C:$C,$A18),NA())</f>
        <v>167932746.946365</v>
      </c>
      <c r="D18" s="7">
        <f>IFERROR(SUMIFS(Base_Limpa!$F:$F,Base_Limpa!$A:$A,"Lábrea/AM",Base_Limpa!$C:$C,$A18),NA())</f>
        <v>183745862.52401701</v>
      </c>
      <c r="E18" s="7">
        <f>IFERROR(SUMIFS(Base_Limpa!$F:$F,Base_Limpa!$A:$A,"Eirunepé/AM",Base_Limpa!$C:$C,$A18),NA())</f>
        <v>159122129.80959597</v>
      </c>
    </row>
    <row r="19" spans="1:5">
      <c r="A19">
        <v>2022</v>
      </c>
      <c r="B19" s="7">
        <f>IFERROR(SUMIFS(Base_Limpa!$E:$E,Base_Limpa!$A:$A,"Lábrea/AM",Base_Limpa!$C:$C,$A19),NA())</f>
        <v>222237036.773339</v>
      </c>
      <c r="C19" s="7">
        <f>IFERROR(SUMIFS(Base_Limpa!$E:$E,Base_Limpa!$A:$A,"Eirunepé/AM",Base_Limpa!$C:$C,$A19),NA())</f>
        <v>195333940.48663998</v>
      </c>
      <c r="D19" s="7">
        <f>IFERROR(SUMIFS(Base_Limpa!$F:$F,Base_Limpa!$A:$A,"Lábrea/AM",Base_Limpa!$C:$C,$A19),NA())</f>
        <v>212574437.34286699</v>
      </c>
      <c r="E19" s="7">
        <f>IFERROR(SUMIFS(Base_Limpa!$F:$F,Base_Limpa!$A:$A,"Eirunepé/AM",Base_Limpa!$C:$C,$A19),NA())</f>
        <v>192334857.98201498</v>
      </c>
    </row>
    <row r="20" spans="1:5">
      <c r="A20">
        <v>2023</v>
      </c>
      <c r="B20" s="7">
        <f>IFERROR(SUMIFS(Base_Limpa!$E:$E,Base_Limpa!$A:$A,"Lábrea/AM",Base_Limpa!$C:$C,$A20),NA())</f>
        <v>238987186.78058401</v>
      </c>
      <c r="C20" s="7">
        <f>IFERROR(SUMIFS(Base_Limpa!$E:$E,Base_Limpa!$A:$A,"Eirunepé/AM",Base_Limpa!$C:$C,$A20),NA())</f>
        <v>219323925.99595499</v>
      </c>
      <c r="D20" s="7">
        <f>IFERROR(SUMIFS(Base_Limpa!$F:$F,Base_Limpa!$A:$A,"Lábrea/AM",Base_Limpa!$C:$C,$A20),NA())</f>
        <v>217695400.67711699</v>
      </c>
      <c r="E20" s="7">
        <f>IFERROR(SUMIFS(Base_Limpa!$F:$F,Base_Limpa!$A:$A,"Eirunepé/AM",Base_Limpa!$C:$C,$A20),NA())</f>
        <v>209056393.37792003</v>
      </c>
    </row>
    <row r="21" spans="1:5">
      <c r="A21">
        <v>2024</v>
      </c>
      <c r="B21" s="7">
        <f>IFERROR(SUMIFS(Base_Limpa!$E:$E,Base_Limpa!$A:$A,"Lábrea/AM",Base_Limpa!$C:$C,$A21),NA())</f>
        <v>103540289.40000001</v>
      </c>
      <c r="C21" s="7">
        <f>IFERROR(SUMIFS(Base_Limpa!$E:$E,Base_Limpa!$A:$A,"Eirunepé/AM",Base_Limpa!$C:$C,$A21),NA())</f>
        <v>196960631.72999999</v>
      </c>
      <c r="D21" s="7">
        <f>IFERROR(SUMIFS(Base_Limpa!$F:$F,Base_Limpa!$A:$A,"Lábrea/AM",Base_Limpa!$C:$C,$A21),NA())</f>
        <v>98601575.040000007</v>
      </c>
      <c r="E21" s="7">
        <f>IFERROR(SUMIFS(Base_Limpa!$F:$F,Base_Limpa!$A:$A,"Eirunepé/AM",Base_Limpa!$C:$C,$A21),NA())</f>
        <v>192107576.69</v>
      </c>
    </row>
    <row r="22" spans="1:5">
      <c r="A22">
        <v>2025</v>
      </c>
      <c r="B22" s="7">
        <f>IFERROR(SUMIFS(Base_Limpa!$E:$E,Base_Limpa!$A:$A,"Lábrea/AM",Base_Limpa!$C:$C,$A22),NA())</f>
        <v>0</v>
      </c>
      <c r="C22" s="7">
        <f>IFERROR(SUMIFS(Base_Limpa!$E:$E,Base_Limpa!$A:$A,"Eirunepé/AM",Base_Limpa!$C:$C,$A22),NA())</f>
        <v>0</v>
      </c>
      <c r="D22" s="7">
        <f>IFERROR(SUMIFS(Base_Limpa!$F:$F,Base_Limpa!$A:$A,"Lábrea/AM",Base_Limpa!$C:$C,$A22),NA())</f>
        <v>0</v>
      </c>
      <c r="E22" s="7">
        <f>IFERROR(SUMIFS(Base_Limpa!$F:$F,Base_Limpa!$A:$A,"Eirunepé/AM",Base_Limpa!$C:$C,$A22),NA())</f>
        <v>0</v>
      </c>
    </row>
  </sheetData>
  <mergeCells count="2">
    <mergeCell ref="A1:L1"/>
    <mergeCell ref="A7:G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workbookViewId="0">
      <selection activeCell="E5" sqref="E5"/>
    </sheetView>
  </sheetViews>
  <sheetFormatPr defaultRowHeight="14.25"/>
  <cols>
    <col min="1" max="1" width="11.125" bestFit="1" customWidth="1"/>
    <col min="3" max="3" width="5.25" bestFit="1" customWidth="1"/>
    <col min="4" max="15" width="4.875" bestFit="1" customWidth="1"/>
  </cols>
  <sheetData>
    <row r="1" spans="1:15" ht="15">
      <c r="A1" s="5" t="s">
        <v>50</v>
      </c>
      <c r="B1" s="5"/>
      <c r="C1" s="5" t="s">
        <v>51</v>
      </c>
      <c r="D1" s="5">
        <v>2014</v>
      </c>
      <c r="E1" s="5">
        <v>2015</v>
      </c>
      <c r="F1" s="5">
        <v>2016</v>
      </c>
      <c r="G1" s="5">
        <v>2017</v>
      </c>
      <c r="H1" s="5">
        <v>2018</v>
      </c>
      <c r="I1" s="5">
        <v>2019</v>
      </c>
      <c r="J1" s="5">
        <v>2020</v>
      </c>
      <c r="K1" s="5">
        <v>2021</v>
      </c>
      <c r="L1" s="5">
        <v>2022</v>
      </c>
      <c r="M1" s="5">
        <v>2023</v>
      </c>
      <c r="N1" s="5">
        <v>2024</v>
      </c>
      <c r="O1">
        <v>2025</v>
      </c>
    </row>
    <row r="2" spans="1:15">
      <c r="A2" t="s">
        <v>13</v>
      </c>
    </row>
    <row r="3" spans="1:15">
      <c r="A3" t="s">
        <v>19</v>
      </c>
    </row>
    <row r="4" spans="1:15">
      <c r="A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Base_Limpa</vt:lpstr>
      <vt:lpstr>Comparativo</vt:lpstr>
      <vt:lpstr>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</cp:lastModifiedBy>
  <dcterms:modified xsi:type="dcterms:W3CDTF">2026-05-09T02:49:48Z</dcterms:modified>
</cp:coreProperties>
</file>