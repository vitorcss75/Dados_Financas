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amazonas_receitas\"/>
    </mc:Choice>
  </mc:AlternateContent>
  <xr:revisionPtr revIDLastSave="0" documentId="13_ncr:1_{D007FCA4-DC0E-4425-9346-F2CD9E1933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_Limpa" sheetId="1" r:id="rId1"/>
    <sheet name="Resum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1" l="1"/>
  <c r="E13" i="1"/>
  <c r="E24" i="1"/>
  <c r="E12" i="1"/>
  <c r="E23" i="1"/>
  <c r="E11" i="1"/>
  <c r="E22" i="1"/>
  <c r="E10" i="1"/>
  <c r="E21" i="1"/>
  <c r="E9" i="1"/>
  <c r="E20" i="1"/>
  <c r="E8" i="1"/>
  <c r="E19" i="1"/>
  <c r="E7" i="1"/>
  <c r="E18" i="1"/>
  <c r="E6" i="1"/>
  <c r="E17" i="1"/>
  <c r="E5" i="1"/>
  <c r="E16" i="1"/>
  <c r="E4" i="1"/>
  <c r="E15" i="1"/>
  <c r="E3" i="1"/>
  <c r="E14" i="1"/>
  <c r="E2" i="1"/>
</calcChain>
</file>

<file path=xl/sharedStrings.xml><?xml version="1.0" encoding="utf-8"?>
<sst xmlns="http://schemas.openxmlformats.org/spreadsheetml/2006/main" count="70" uniqueCount="23">
  <si>
    <t>Ano</t>
  </si>
  <si>
    <t>Município</t>
  </si>
  <si>
    <t>Receita Própria (Receita Tributária/ITCM)</t>
  </si>
  <si>
    <t>Receita Total</t>
  </si>
  <si>
    <t>Autonomia Fiscal</t>
  </si>
  <si>
    <t>Conta usada p/ Receita Própria</t>
  </si>
  <si>
    <t>Observação</t>
  </si>
  <si>
    <t>Eirunepé/AM</t>
  </si>
  <si>
    <t>1.1.0.0.00.00.00 - Receita Tributária</t>
  </si>
  <si>
    <t>Lábrea/AM</t>
  </si>
  <si>
    <t>1.1.0.0.00.0.0 - Impostos, Taxas e Contribuições de Melhoria</t>
  </si>
  <si>
    <t>Valor informado na planilha é muito baixo; conferir fonte</t>
  </si>
  <si>
    <t>Não encontrado na planilha enviada</t>
  </si>
  <si>
    <t>Aba 2025 vazia/sem dados</t>
  </si>
  <si>
    <t>Análise de Autonomia Fiscal — Eirunepé/AM e Lábrea/AM</t>
  </si>
  <si>
    <t>Fórmula usada: Autonomia Fiscal = Receita Própria / Receita Total. Receita Própria foi aproximada pela conta Receita Tributária ou Impostos, Taxas e Contribuições de Melhoria.</t>
  </si>
  <si>
    <t>Diferença p.p. (Lábrea - Eirunepé)</t>
  </si>
  <si>
    <t>Indicador</t>
  </si>
  <si>
    <t>Média da autonomia fiscal</t>
  </si>
  <si>
    <t>Maior autonomia fiscal</t>
  </si>
  <si>
    <t>Menor autonomia fiscal</t>
  </si>
  <si>
    <t>Último ano com dado</t>
  </si>
  <si>
    <t>Leitura rápida: Lábrea apresenta maior autonomia fiscal na maior parte da série, exceto 2018 e 2024. Em 2018, o valor de Lábrea aparece muito baixo na base enviada, por isso deve ser conferido. Não há dado de Lábrea em 2019 na planilha de receitas enviada, e a aba 2025 está vazia.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</si>
</sst>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164" fontId="0" fillId="0" borderId="0" xfId="0" applyNumberFormat="1" applyFont="1" applyFill="1" applyBorder="1"/>
    <xf numFmtId="10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/>
    <xf numFmtId="0" fontId="3" fillId="4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vertical="top" wrapText="1"/>
    </xf>
    <xf numFmtId="10" fontId="0" fillId="0" borderId="0" xfId="0" applyNumberFormat="1" applyFont="1" applyFill="1" applyBorder="1"/>
    <xf numFmtId="0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Evolução da Autonomia Fiscal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Eirunepé/AM</c:v>
          </c:tx>
          <c:cat>
            <c:strRef>
              <c:f>Resumo!$A$6:$A$17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Leitura rápida: Lábrea apresenta maior autonomia fiscal na maior parte da série, exceto 2018 e 2024. Em 2018, o valor de Lábrea aparece muito baixo na base enviada, por isso deve ser conferido. Não há dado de Lábrea em 2019 na planilha de receitas enviada,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Resumo!$B$6:$B$17</c:f>
              <c:numCache>
                <c:formatCode>0.00%</c:formatCode>
                <c:ptCount val="12"/>
                <c:pt idx="0">
                  <c:v>2.1227240753364639E-2</c:v>
                </c:pt>
                <c:pt idx="1">
                  <c:v>1.7359639738867484E-2</c:v>
                </c:pt>
                <c:pt idx="2">
                  <c:v>1.316686945998077E-2</c:v>
                </c:pt>
                <c:pt idx="3">
                  <c:v>1.7258242619337234E-2</c:v>
                </c:pt>
                <c:pt idx="4">
                  <c:v>2.8417066301616035E-2</c:v>
                </c:pt>
                <c:pt idx="5">
                  <c:v>2.1045195643826092E-2</c:v>
                </c:pt>
                <c:pt idx="6">
                  <c:v>2.1412856570272493E-2</c:v>
                </c:pt>
                <c:pt idx="7">
                  <c:v>2.3127117670899665E-2</c:v>
                </c:pt>
                <c:pt idx="8">
                  <c:v>3.2720699973326703E-2</c:v>
                </c:pt>
                <c:pt idx="9">
                  <c:v>3.0686490573071934E-2</c:v>
                </c:pt>
                <c:pt idx="10">
                  <c:v>3.0265466441901322E-2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A-4707-B71B-72F263BE1479}"/>
            </c:ext>
          </c:extLst>
        </c:ser>
        <c:ser>
          <c:idx val="1"/>
          <c:order val="1"/>
          <c:tx>
            <c:v>Lábrea/AM</c:v>
          </c:tx>
          <c:cat>
            <c:strRef>
              <c:f>Resumo!$A$6:$A$17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Leitura rápida: Lábrea apresenta maior autonomia fiscal na maior parte da série, exceto 2018 e 2024. Em 2018, o valor de Lábrea aparece muito baixo na base enviada, por isso deve ser conferido. Não há dado de Lábrea em 2019 na planilha de receitas enviada,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Resumo!$C$6:$C$17</c:f>
              <c:numCache>
                <c:formatCode>0.00%</c:formatCode>
                <c:ptCount val="12"/>
                <c:pt idx="0">
                  <c:v>2.5967103707286689E-2</c:v>
                </c:pt>
                <c:pt idx="1">
                  <c:v>3.0153449867898016E-2</c:v>
                </c:pt>
                <c:pt idx="2">
                  <c:v>3.3024952691125542E-2</c:v>
                </c:pt>
                <c:pt idx="3">
                  <c:v>3.544011146279312E-2</c:v>
                </c:pt>
                <c:pt idx="4">
                  <c:v>7.7279292262516654E-5</c:v>
                </c:pt>
                <c:pt idx="6">
                  <c:v>3.7244143175437852E-2</c:v>
                </c:pt>
                <c:pt idx="7">
                  <c:v>3.658840192362553E-2</c:v>
                </c:pt>
                <c:pt idx="8">
                  <c:v>4.3064799643108588E-2</c:v>
                </c:pt>
                <c:pt idx="9">
                  <c:v>3.3881628825005464E-2</c:v>
                </c:pt>
                <c:pt idx="10">
                  <c:v>2.645902378557578E-2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A-4707-B71B-72F263BE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AutonomiaFiscal" displayName="TabelaAutonomiaFiscal" ref="A1:G25">
  <autoFilter ref="A1:G25" xr:uid="{00000000-000C-0000-FFFF-FFFF00000000}"/>
  <sortState xmlns:xlrd2="http://schemas.microsoft.com/office/spreadsheetml/2017/richdata2" ref="A2:G25">
    <sortCondition ref="B1:B25"/>
  </sortState>
  <tableColumns count="7">
    <tableColumn id="1" xr3:uid="{00000000-0010-0000-0000-000001000000}" name="Ano"/>
    <tableColumn id="2" xr3:uid="{00000000-0010-0000-0000-000002000000}" name="Município"/>
    <tableColumn id="3" xr3:uid="{00000000-0010-0000-0000-000003000000}" name="Receita Própria (Receita Tributária/ITCM)"/>
    <tableColumn id="4" xr3:uid="{00000000-0010-0000-0000-000004000000}" name="Receita Total"/>
    <tableColumn id="5" xr3:uid="{00000000-0010-0000-0000-000005000000}" name="Autonomia Fiscal"/>
    <tableColumn id="6" xr3:uid="{00000000-0010-0000-0000-000006000000}" name="Conta usada p/ Receita Própria"/>
    <tableColumn id="7" xr3:uid="{00000000-0010-0000-0000-000007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C2" sqref="C2:C13"/>
    </sheetView>
  </sheetViews>
  <sheetFormatPr defaultRowHeight="14.25"/>
  <cols>
    <col min="1" max="1" width="4.875" bestFit="1" customWidth="1"/>
    <col min="2" max="2" width="11.125" bestFit="1" customWidth="1"/>
    <col min="3" max="3" width="22.875" bestFit="1" customWidth="1"/>
    <col min="4" max="4" width="16.375" bestFit="1" customWidth="1"/>
    <col min="5" max="5" width="10.125" bestFit="1" customWidth="1"/>
    <col min="6" max="6" width="51.25" bestFit="1" customWidth="1"/>
    <col min="7" max="7" width="46.75" bestFit="1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2014</v>
      </c>
      <c r="B2" s="2" t="s">
        <v>7</v>
      </c>
      <c r="C2" s="3">
        <v>1229859.52</v>
      </c>
      <c r="D2" s="3">
        <v>57937794.850000001</v>
      </c>
      <c r="E2" s="4">
        <f>IFERROR(C2/D2,"")</f>
        <v>2.1227240753364639E-2</v>
      </c>
      <c r="F2" s="2" t="s">
        <v>8</v>
      </c>
      <c r="G2" s="2"/>
    </row>
    <row r="3" spans="1:7">
      <c r="A3" s="2">
        <v>2015</v>
      </c>
      <c r="B3" s="2" t="s">
        <v>7</v>
      </c>
      <c r="C3" s="3">
        <v>997823.52</v>
      </c>
      <c r="D3" s="3">
        <v>57479506.200000003</v>
      </c>
      <c r="E3" s="4">
        <f>IFERROR(C3/D3,"")</f>
        <v>1.7359639738867484E-2</v>
      </c>
      <c r="F3" s="2" t="s">
        <v>8</v>
      </c>
      <c r="G3" s="2"/>
    </row>
    <row r="4" spans="1:7">
      <c r="A4" s="2">
        <v>2016</v>
      </c>
      <c r="B4" s="2" t="s">
        <v>7</v>
      </c>
      <c r="C4" s="3">
        <v>785170.38</v>
      </c>
      <c r="D4" s="3">
        <v>59632274.960000001</v>
      </c>
      <c r="E4" s="4">
        <f>IFERROR(C4/D4,"")</f>
        <v>1.316686945998077E-2</v>
      </c>
      <c r="F4" s="2" t="s">
        <v>8</v>
      </c>
      <c r="G4" s="2"/>
    </row>
    <row r="5" spans="1:7">
      <c r="A5" s="2">
        <v>2017</v>
      </c>
      <c r="B5" s="2" t="s">
        <v>7</v>
      </c>
      <c r="C5" s="3">
        <v>1154661.6299999999</v>
      </c>
      <c r="D5" s="3">
        <v>66904936.700000003</v>
      </c>
      <c r="E5" s="4">
        <f>IFERROR(C5/D5,"")</f>
        <v>1.7258242619337234E-2</v>
      </c>
      <c r="F5" s="2" t="s">
        <v>8</v>
      </c>
      <c r="G5" s="2"/>
    </row>
    <row r="6" spans="1:7">
      <c r="A6" s="2">
        <v>2018</v>
      </c>
      <c r="B6" s="2" t="s">
        <v>7</v>
      </c>
      <c r="C6" s="3">
        <v>2381736.2400000002</v>
      </c>
      <c r="D6" s="3">
        <v>83813586.340000004</v>
      </c>
      <c r="E6" s="4">
        <f>IFERROR(C6/D6,"")</f>
        <v>2.8417066301616035E-2</v>
      </c>
      <c r="F6" s="2" t="s">
        <v>10</v>
      </c>
      <c r="G6" s="2"/>
    </row>
    <row r="7" spans="1:7">
      <c r="A7" s="2">
        <v>2019</v>
      </c>
      <c r="B7" s="2" t="s">
        <v>7</v>
      </c>
      <c r="C7" s="3">
        <v>1917798.84</v>
      </c>
      <c r="D7" s="3">
        <v>91127631.810000002</v>
      </c>
      <c r="E7" s="4">
        <f>IFERROR(C7/D7,"")</f>
        <v>2.1045195643826092E-2</v>
      </c>
      <c r="F7" s="2" t="s">
        <v>10</v>
      </c>
      <c r="G7" s="2"/>
    </row>
    <row r="8" spans="1:7">
      <c r="A8" s="2">
        <v>2020</v>
      </c>
      <c r="B8" s="2" t="s">
        <v>7</v>
      </c>
      <c r="C8" s="3">
        <v>2321119.2999999998</v>
      </c>
      <c r="D8" s="3">
        <v>108398395.72</v>
      </c>
      <c r="E8" s="4">
        <f>IFERROR(C8/D8,"")</f>
        <v>2.1412856570272493E-2</v>
      </c>
      <c r="F8" s="2" t="s">
        <v>10</v>
      </c>
      <c r="G8" s="2"/>
    </row>
    <row r="9" spans="1:7">
      <c r="A9" s="2">
        <v>2021</v>
      </c>
      <c r="B9" s="2" t="s">
        <v>7</v>
      </c>
      <c r="C9" s="3">
        <v>3069955.26</v>
      </c>
      <c r="D9" s="3">
        <v>132742666.15000001</v>
      </c>
      <c r="E9" s="4">
        <f>IFERROR(C9/D9,"")</f>
        <v>2.3127117670899665E-2</v>
      </c>
      <c r="F9" s="2" t="s">
        <v>10</v>
      </c>
      <c r="G9" s="2"/>
    </row>
    <row r="10" spans="1:7">
      <c r="A10" s="2">
        <v>2022</v>
      </c>
      <c r="B10" s="2" t="s">
        <v>7</v>
      </c>
      <c r="C10" s="3">
        <v>5344479.6900000004</v>
      </c>
      <c r="D10" s="3">
        <v>163336349.59999999</v>
      </c>
      <c r="E10" s="4">
        <f>IFERROR(C10/D10,"")</f>
        <v>3.2720699973326703E-2</v>
      </c>
      <c r="F10" s="2" t="s">
        <v>10</v>
      </c>
      <c r="G10" s="2"/>
    </row>
    <row r="11" spans="1:7">
      <c r="A11" s="2">
        <v>2023</v>
      </c>
      <c r="B11" s="2" t="s">
        <v>7</v>
      </c>
      <c r="C11" s="3">
        <v>5888775.5599999996</v>
      </c>
      <c r="D11" s="3">
        <v>191901238.94999999</v>
      </c>
      <c r="E11" s="4">
        <f>IFERROR(C11/D11,"")</f>
        <v>3.0686490573071934E-2</v>
      </c>
      <c r="F11" s="2" t="s">
        <v>10</v>
      </c>
      <c r="G11" s="2"/>
    </row>
    <row r="12" spans="1:7">
      <c r="A12" s="2">
        <v>2024</v>
      </c>
      <c r="B12" s="2" t="s">
        <v>7</v>
      </c>
      <c r="C12" s="3">
        <v>5961105.3899999997</v>
      </c>
      <c r="D12" s="3">
        <v>196960631.72999999</v>
      </c>
      <c r="E12" s="4">
        <f>IFERROR(C12/D12,"")</f>
        <v>3.0265466441901322E-2</v>
      </c>
      <c r="F12" s="2" t="s">
        <v>10</v>
      </c>
      <c r="G12" s="2"/>
    </row>
    <row r="13" spans="1:7">
      <c r="A13" s="2">
        <v>2025</v>
      </c>
      <c r="B13" s="2" t="s">
        <v>7</v>
      </c>
      <c r="C13" s="3"/>
      <c r="D13" s="3"/>
      <c r="E13" s="4" t="str">
        <f>IFERROR(C13/D13,"")</f>
        <v/>
      </c>
      <c r="F13" s="2"/>
      <c r="G13" s="2" t="s">
        <v>13</v>
      </c>
    </row>
    <row r="14" spans="1:7">
      <c r="A14" s="2">
        <v>2014</v>
      </c>
      <c r="B14" s="2" t="s">
        <v>9</v>
      </c>
      <c r="C14" s="3">
        <v>1888985.6</v>
      </c>
      <c r="D14" s="3">
        <v>72745332.760000005</v>
      </c>
      <c r="E14" s="4">
        <f>IFERROR(C14/D14,"")</f>
        <v>2.5967103707286689E-2</v>
      </c>
      <c r="F14" s="2" t="s">
        <v>8</v>
      </c>
      <c r="G14" s="2"/>
    </row>
    <row r="15" spans="1:7">
      <c r="A15" s="2">
        <v>2015</v>
      </c>
      <c r="B15" s="2" t="s">
        <v>9</v>
      </c>
      <c r="C15" s="3">
        <v>2096392.69</v>
      </c>
      <c r="D15" s="3">
        <v>69524140.659999996</v>
      </c>
      <c r="E15" s="4">
        <f>IFERROR(C15/D15,"")</f>
        <v>3.0153449867898016E-2</v>
      </c>
      <c r="F15" s="2" t="s">
        <v>8</v>
      </c>
      <c r="G15" s="2"/>
    </row>
    <row r="16" spans="1:7">
      <c r="A16" s="2">
        <v>2016</v>
      </c>
      <c r="B16" s="2" t="s">
        <v>9</v>
      </c>
      <c r="C16" s="3">
        <v>2433001.8199999998</v>
      </c>
      <c r="D16" s="3">
        <v>73671621.659999996</v>
      </c>
      <c r="E16" s="4">
        <f>IFERROR(C16/D16,"")</f>
        <v>3.3024952691125542E-2</v>
      </c>
      <c r="F16" s="2" t="s">
        <v>8</v>
      </c>
      <c r="G16" s="2"/>
    </row>
    <row r="17" spans="1:7">
      <c r="A17" s="2">
        <v>2017</v>
      </c>
      <c r="B17" s="2" t="s">
        <v>9</v>
      </c>
      <c r="C17" s="3">
        <v>2991083.68</v>
      </c>
      <c r="D17" s="3">
        <v>84398258.260000005</v>
      </c>
      <c r="E17" s="4">
        <f>IFERROR(C17/D17,"")</f>
        <v>3.544011146279312E-2</v>
      </c>
      <c r="F17" s="2" t="s">
        <v>8</v>
      </c>
      <c r="G17" s="2"/>
    </row>
    <row r="18" spans="1:7">
      <c r="A18" s="2">
        <v>2018</v>
      </c>
      <c r="B18" s="2" t="s">
        <v>9</v>
      </c>
      <c r="C18" s="3">
        <v>7000</v>
      </c>
      <c r="D18" s="3">
        <v>90580539.689999998</v>
      </c>
      <c r="E18" s="4">
        <f>IFERROR(C18/D18,"")</f>
        <v>7.7279292262516654E-5</v>
      </c>
      <c r="F18" s="2" t="s">
        <v>10</v>
      </c>
      <c r="G18" s="2" t="s">
        <v>11</v>
      </c>
    </row>
    <row r="19" spans="1:7">
      <c r="A19" s="2">
        <v>2019</v>
      </c>
      <c r="B19" s="2" t="s">
        <v>9</v>
      </c>
      <c r="C19" s="3"/>
      <c r="D19" s="3"/>
      <c r="E19" s="4" t="str">
        <f>IFERROR(C19/D19,"")</f>
        <v/>
      </c>
      <c r="F19" s="2"/>
      <c r="G19" s="2" t="s">
        <v>12</v>
      </c>
    </row>
    <row r="20" spans="1:7">
      <c r="A20" s="2">
        <v>2020</v>
      </c>
      <c r="B20" s="2" t="s">
        <v>9</v>
      </c>
      <c r="C20" s="3">
        <v>4875899.6399999997</v>
      </c>
      <c r="D20" s="3">
        <v>130917218.77</v>
      </c>
      <c r="E20" s="4">
        <f>IFERROR(C20/D20,"")</f>
        <v>3.7244143175437852E-2</v>
      </c>
      <c r="F20" s="2" t="s">
        <v>10</v>
      </c>
      <c r="G20" s="2"/>
    </row>
    <row r="21" spans="1:7">
      <c r="A21" s="2">
        <v>2021</v>
      </c>
      <c r="B21" s="2" t="s">
        <v>9</v>
      </c>
      <c r="C21" s="3">
        <v>5958282</v>
      </c>
      <c r="D21" s="3">
        <v>162846194.06</v>
      </c>
      <c r="E21" s="4">
        <f>IFERROR(C21/D21,"")</f>
        <v>3.658840192362553E-2</v>
      </c>
      <c r="F21" s="2" t="s">
        <v>10</v>
      </c>
      <c r="G21" s="2"/>
    </row>
    <row r="22" spans="1:7">
      <c r="A22" s="2">
        <v>2022</v>
      </c>
      <c r="B22" s="2" t="s">
        <v>9</v>
      </c>
      <c r="C22" s="3">
        <v>8002837.5800000001</v>
      </c>
      <c r="D22" s="3">
        <v>185832458.21000001</v>
      </c>
      <c r="E22" s="4">
        <f>IFERROR(C22/D22,"")</f>
        <v>4.3064799643108588E-2</v>
      </c>
      <c r="F22" s="2" t="s">
        <v>10</v>
      </c>
      <c r="G22" s="2"/>
    </row>
    <row r="23" spans="1:7">
      <c r="A23" s="2">
        <v>2023</v>
      </c>
      <c r="B23" s="2" t="s">
        <v>9</v>
      </c>
      <c r="C23" s="3">
        <v>7084850.0800000001</v>
      </c>
      <c r="D23" s="3">
        <v>209105946.96000001</v>
      </c>
      <c r="E23" s="4">
        <f>IFERROR(C23/D23,"")</f>
        <v>3.3881628825005464E-2</v>
      </c>
      <c r="F23" s="2" t="s">
        <v>10</v>
      </c>
      <c r="G23" s="2"/>
    </row>
    <row r="24" spans="1:7">
      <c r="A24" s="2">
        <v>2024</v>
      </c>
      <c r="B24" s="2" t="s">
        <v>9</v>
      </c>
      <c r="C24" s="3">
        <v>2739574.98</v>
      </c>
      <c r="D24" s="3">
        <v>103540289.40000001</v>
      </c>
      <c r="E24" s="4">
        <f>IFERROR(C24/D24,"")</f>
        <v>2.645902378557578E-2</v>
      </c>
      <c r="F24" s="2" t="s">
        <v>10</v>
      </c>
      <c r="G24" s="2"/>
    </row>
    <row r="25" spans="1:7">
      <c r="A25" s="2">
        <v>2025</v>
      </c>
      <c r="B25" s="2" t="s">
        <v>9</v>
      </c>
      <c r="C25" s="3"/>
      <c r="D25" s="3"/>
      <c r="E25" s="4" t="str">
        <f>IFERROR(C25/D25,"")</f>
        <v/>
      </c>
      <c r="F25" s="2"/>
      <c r="G25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defaultRowHeight="14.25"/>
  <cols>
    <col min="1" max="1" width="140" customWidth="1"/>
    <col min="2" max="2" width="10.875" customWidth="1"/>
    <col min="3" max="3" width="9.125" customWidth="1"/>
    <col min="4" max="4" width="27.375" customWidth="1"/>
    <col min="6" max="6" width="21.125" customWidth="1"/>
    <col min="7" max="7" width="10.875" customWidth="1"/>
    <col min="8" max="8" width="9.125" customWidth="1"/>
  </cols>
  <sheetData>
    <row r="1" spans="1:8" ht="30" customHeight="1">
      <c r="A1" s="6" t="s">
        <v>14</v>
      </c>
      <c r="B1" s="7"/>
      <c r="C1" s="7"/>
      <c r="D1" s="7"/>
      <c r="E1" s="7"/>
      <c r="F1" s="7"/>
      <c r="G1" s="7"/>
      <c r="H1" s="7"/>
    </row>
    <row r="3" spans="1:8">
      <c r="A3" s="8" t="s">
        <v>15</v>
      </c>
      <c r="B3" s="7"/>
      <c r="C3" s="7"/>
      <c r="D3" s="7"/>
      <c r="E3" s="7"/>
      <c r="F3" s="7"/>
      <c r="G3" s="7"/>
      <c r="H3" s="7"/>
    </row>
    <row r="5" spans="1:8" ht="15">
      <c r="A5" s="5" t="s">
        <v>0</v>
      </c>
      <c r="B5" s="5" t="s">
        <v>7</v>
      </c>
      <c r="C5" s="5" t="s">
        <v>9</v>
      </c>
      <c r="D5" s="5" t="s">
        <v>16</v>
      </c>
    </row>
    <row r="6" spans="1:8" ht="15">
      <c r="A6" s="2">
        <v>2014</v>
      </c>
      <c r="B6" s="4">
        <v>2.1227240753364639E-2</v>
      </c>
      <c r="C6" s="4">
        <v>2.5967103707286689E-2</v>
      </c>
      <c r="D6" s="4">
        <v>4.7398629539220499E-3</v>
      </c>
      <c r="F6" s="5" t="s">
        <v>17</v>
      </c>
      <c r="G6" s="5" t="s">
        <v>7</v>
      </c>
      <c r="H6" s="5" t="s">
        <v>9</v>
      </c>
    </row>
    <row r="7" spans="1:8">
      <c r="A7" s="2">
        <v>2015</v>
      </c>
      <c r="B7" s="4">
        <v>1.7359639738867484E-2</v>
      </c>
      <c r="C7" s="4">
        <v>3.0153449867898016E-2</v>
      </c>
      <c r="D7" s="4">
        <v>1.2793810129030532E-2</v>
      </c>
      <c r="F7" s="2" t="s">
        <v>18</v>
      </c>
      <c r="G7" s="4">
        <v>2.333517143149676E-2</v>
      </c>
      <c r="H7" s="4">
        <v>3.0190089437411909E-2</v>
      </c>
    </row>
    <row r="8" spans="1:8">
      <c r="A8" s="2">
        <v>2016</v>
      </c>
      <c r="B8" s="4">
        <v>1.316686945998077E-2</v>
      </c>
      <c r="C8" s="4">
        <v>3.3024952691125542E-2</v>
      </c>
      <c r="D8" s="4">
        <v>1.9858083231144772E-2</v>
      </c>
      <c r="F8" s="2" t="s">
        <v>19</v>
      </c>
      <c r="G8" s="4">
        <v>3.2720699973326703E-2</v>
      </c>
      <c r="H8" s="4">
        <v>4.3064799643108588E-2</v>
      </c>
    </row>
    <row r="9" spans="1:8">
      <c r="A9" s="2">
        <v>2017</v>
      </c>
      <c r="B9" s="4">
        <v>1.7258242619337234E-2</v>
      </c>
      <c r="C9" s="4">
        <v>3.544011146279312E-2</v>
      </c>
      <c r="D9" s="4">
        <v>1.8181868843455885E-2</v>
      </c>
      <c r="F9" s="2" t="s">
        <v>20</v>
      </c>
      <c r="G9" s="4">
        <v>1.316686945998077E-2</v>
      </c>
      <c r="H9" s="4">
        <v>7.7279292262516654E-5</v>
      </c>
    </row>
    <row r="10" spans="1:8">
      <c r="A10" s="2">
        <v>2018</v>
      </c>
      <c r="B10" s="4">
        <v>2.8417066301616035E-2</v>
      </c>
      <c r="C10" s="4">
        <v>7.7279292262516654E-5</v>
      </c>
      <c r="D10" s="4">
        <v>-2.833978700935352E-2</v>
      </c>
      <c r="F10" s="2" t="s">
        <v>21</v>
      </c>
      <c r="G10" s="2">
        <v>2024</v>
      </c>
      <c r="H10" s="2">
        <v>2024</v>
      </c>
    </row>
    <row r="11" spans="1:8">
      <c r="A11" s="2">
        <v>2019</v>
      </c>
      <c r="B11" s="4">
        <v>2.1045195643826092E-2</v>
      </c>
      <c r="C11" s="4"/>
      <c r="D11" s="4"/>
    </row>
    <row r="12" spans="1:8">
      <c r="A12" s="2">
        <v>2020</v>
      </c>
      <c r="B12" s="4">
        <v>2.1412856570272493E-2</v>
      </c>
      <c r="C12" s="4">
        <v>3.7244143175437852E-2</v>
      </c>
      <c r="D12" s="4">
        <v>1.5831286605165359E-2</v>
      </c>
    </row>
    <row r="13" spans="1:8">
      <c r="A13" s="2">
        <v>2021</v>
      </c>
      <c r="B13" s="4">
        <v>2.3127117670899665E-2</v>
      </c>
      <c r="C13" s="4">
        <v>3.658840192362553E-2</v>
      </c>
      <c r="D13" s="4">
        <v>1.3461284252725865E-2</v>
      </c>
    </row>
    <row r="14" spans="1:8">
      <c r="A14" s="2">
        <v>2022</v>
      </c>
      <c r="B14" s="4">
        <v>3.2720699973326703E-2</v>
      </c>
      <c r="C14" s="4">
        <v>4.3064799643108588E-2</v>
      </c>
      <c r="D14" s="4">
        <v>1.0344099669781885E-2</v>
      </c>
    </row>
    <row r="15" spans="1:8">
      <c r="A15" s="9" t="s">
        <v>22</v>
      </c>
      <c r="B15" s="10">
        <v>3.0686490573071934E-2</v>
      </c>
      <c r="C15" s="10">
        <v>3.3881628825005464E-2</v>
      </c>
      <c r="D15" s="10">
        <v>3.1951382519335297E-3</v>
      </c>
      <c r="E15" s="7"/>
      <c r="F15" s="7"/>
      <c r="G15" s="7"/>
      <c r="H15" s="7"/>
    </row>
    <row r="16" spans="1:8">
      <c r="A16" s="11">
        <v>2024</v>
      </c>
      <c r="B16" s="10">
        <v>3.0265466441901322E-2</v>
      </c>
      <c r="C16" s="10">
        <v>2.645902378557578E-2</v>
      </c>
      <c r="D16" s="10">
        <v>-3.8064426563255427E-3</v>
      </c>
      <c r="E16" s="7"/>
      <c r="F16" s="7"/>
      <c r="G16" s="7"/>
      <c r="H16" s="7"/>
    </row>
    <row r="17" spans="1:8">
      <c r="A17" s="11">
        <v>2025</v>
      </c>
      <c r="B17" s="10"/>
      <c r="C17" s="10"/>
      <c r="D17" s="10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</sheetData>
  <mergeCells count="3">
    <mergeCell ref="A1:H1"/>
    <mergeCell ref="A3:H3"/>
    <mergeCell ref="A15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Base_Limpa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</cp:lastModifiedBy>
  <dcterms:modified xsi:type="dcterms:W3CDTF">2026-05-08T14:29:33Z</dcterms:modified>
</cp:coreProperties>
</file>