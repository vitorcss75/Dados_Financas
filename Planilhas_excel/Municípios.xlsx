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V:\Faculdade\FSP\Dados_Finanças\"/>
    </mc:Choice>
  </mc:AlternateContent>
  <xr:revisionPtr revIDLastSave="0" documentId="13_ncr:1_{8F1AEC6D-B37C-459C-ADF8-F2209DFE9B67}" xr6:coauthVersionLast="47" xr6:coauthVersionMax="47" xr10:uidLastSave="{00000000-0000-0000-0000-000000000000}"/>
  <bookViews>
    <workbookView xWindow="3075" yWindow="3075" windowWidth="21600" windowHeight="11295" activeTab="3" xr2:uid="{00000000-000D-0000-FFFF-FFFF00000000}"/>
  </bookViews>
  <sheets>
    <sheet name="Plan1" sheetId="1" r:id="rId1"/>
    <sheet name="Dados eurinepé" sheetId="2" r:id="rId2"/>
    <sheet name="Planilha1" sheetId="3" r:id="rId3"/>
    <sheet name="Planilha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4" l="1"/>
</calcChain>
</file>

<file path=xl/sharedStrings.xml><?xml version="1.0" encoding="utf-8"?>
<sst xmlns="http://schemas.openxmlformats.org/spreadsheetml/2006/main" count="633" uniqueCount="71">
  <si>
    <t>ANO</t>
  </si>
  <si>
    <t>VALOR</t>
  </si>
  <si>
    <t>PIB - Lábrea</t>
  </si>
  <si>
    <t>PIB - Eirunepé</t>
  </si>
  <si>
    <t>Ano</t>
  </si>
  <si>
    <t>PIB Nominal (R$ Inteiros)</t>
  </si>
  <si>
    <t>Observação / Leitura do Gráfico do IBGE</t>
  </si>
  <si>
    <t>Aprox. 195,9 mil no eixo</t>
  </si>
  <si>
    <t>Aprox. 198,8 mil no eixo</t>
  </si>
  <si>
    <t>Aprox. 226,7 mil no eixo</t>
  </si>
  <si>
    <t>Aprox. 225,8 mil no eixo</t>
  </si>
  <si>
    <t>Aprox. 253,9 mil no eixo</t>
  </si>
  <si>
    <t>Aprox. 283,4 mil no eixo</t>
  </si>
  <si>
    <t>Aprox. 332,9 mil no eixo (Início da pandemia)</t>
  </si>
  <si>
    <t>Aprox. 366,9 mil no eixo</t>
  </si>
  <si>
    <t>Aprox. 367,4 mil no eixo</t>
  </si>
  <si>
    <t>Ponto mais recente consolidado pelo IBGE (Aprox. 381,5 mil)</t>
  </si>
  <si>
    <t>Categoria de Receita</t>
  </si>
  <si>
    <t>Lábrea/AM (R$)</t>
  </si>
  <si>
    <t>% do Total</t>
  </si>
  <si>
    <t>Eirunepé/AM (R$)</t>
  </si>
  <si>
    <t>Receitas Próprias (Tributárias)</t>
  </si>
  <si>
    <t>Transferências da União (FPM, etc.)</t>
  </si>
  <si>
    <t>Transferências do Estado (ICMS, etc.)</t>
  </si>
  <si>
    <t>Outras Receitas (Convênios/Capital)</t>
  </si>
  <si>
    <t>Receita Orçamentária Total</t>
  </si>
  <si>
    <t>Fator IPCA (Base 2024)</t>
  </si>
  <si>
    <t>Lábrea: Despesa Nominal (R$)</t>
  </si>
  <si>
    <t>Lábrea: Despesa REAL (R$)</t>
  </si>
  <si>
    <t>Eirunepé: Despesa Nominal (R$)</t>
  </si>
  <si>
    <t>Eirunepé: Despesa REAL (R$)</t>
  </si>
  <si>
    <t>IPCA Acumulado (Fator Exato)</t>
  </si>
  <si>
    <t>Exercício: 2016</t>
  </si>
  <si>
    <t>Instituição</t>
  </si>
  <si>
    <t>Cod.IBGE</t>
  </si>
  <si>
    <t>UF</t>
  </si>
  <si>
    <t>População</t>
  </si>
  <si>
    <t>Coluna</t>
  </si>
  <si>
    <t>Conta</t>
  </si>
  <si>
    <t>Identificador da Conta</t>
  </si>
  <si>
    <t>Valor</t>
  </si>
  <si>
    <t>Prefeitura Municipal de Lábrea - AM</t>
  </si>
  <si>
    <t>AM</t>
  </si>
  <si>
    <t>Despesas Empenhadas</t>
  </si>
  <si>
    <t>10 - Saúde</t>
  </si>
  <si>
    <t>siconfi-cor_TotalDespesas</t>
  </si>
  <si>
    <t>Despesas Liquidadas</t>
  </si>
  <si>
    <t>Despesas Pagas</t>
  </si>
  <si>
    <t>Inscrição de RP Não Processados</t>
  </si>
  <si>
    <t>Inscrição de RP Processados</t>
  </si>
  <si>
    <t>Prefeitura Municipal de Eirunepé - AM</t>
  </si>
  <si>
    <t>Exercício: 2015</t>
  </si>
  <si>
    <t>Exercício: 2017</t>
  </si>
  <si>
    <t>Inscrição de Restos a Pagar Processados</t>
  </si>
  <si>
    <t>Inscrição de Restos a Pagar Não Processados</t>
  </si>
  <si>
    <t>Exercício: 2018</t>
  </si>
  <si>
    <t>Exercício: 2019</t>
  </si>
  <si>
    <t>Exercício: 2020</t>
  </si>
  <si>
    <t>Exercício: 2021</t>
  </si>
  <si>
    <t>Exercício: 2022</t>
  </si>
  <si>
    <t>Exercício: 2023</t>
  </si>
  <si>
    <t>Exercício: 2024</t>
  </si>
  <si>
    <t>Exercício: 2014</t>
  </si>
  <si>
    <t>(A) Gasto Nominal (Liquidado)</t>
  </si>
  <si>
    <t>(B) Fator IPCA (Deflação)</t>
  </si>
  <si>
    <t>(C) Gasto REAL (A x B)</t>
  </si>
  <si>
    <t>(D) Mortalidade Infantil</t>
  </si>
  <si>
    <t>Receita Própria (Real)</t>
  </si>
  <si>
    <t>Transferências (Real)</t>
  </si>
  <si>
    <t>Receita Total (Real)</t>
  </si>
  <si>
    <t>Índice de Autonomia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</si>
</sst>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44" fontId="0" fillId="0" borderId="0" xfId="0" applyNumberFormat="1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6" fontId="2" fillId="0" borderId="1" xfId="0" applyNumberFormat="1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8" fontId="2" fillId="0" borderId="1" xfId="0" applyNumberFormat="1" applyFont="1" applyBorder="1" applyAlignment="1">
      <alignment horizontal="left" vertical="center" wrapText="1" indent="1" readingOrder="1"/>
    </xf>
    <xf numFmtId="10" fontId="3" fillId="0" borderId="1" xfId="0" applyNumberFormat="1" applyFont="1" applyBorder="1" applyAlignment="1">
      <alignment horizontal="left" vertical="center" wrapText="1" indent="1" readingOrder="1"/>
    </xf>
    <xf numFmtId="10" fontId="3" fillId="0" borderId="1" xfId="0" applyNumberFormat="1" applyFont="1" applyBorder="1" applyAlignment="1">
      <alignment vertical="center" wrapText="1" readingOrder="1"/>
    </xf>
    <xf numFmtId="8" fontId="3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6" fontId="3" fillId="0" borderId="1" xfId="0" applyNumberFormat="1" applyFont="1" applyBorder="1" applyAlignment="1">
      <alignment horizontal="left" vertical="center" wrapText="1" indent="1" readingOrder="1"/>
    </xf>
    <xf numFmtId="6" fontId="3" fillId="0" borderId="1" xfId="0" applyNumberFormat="1" applyFont="1" applyBorder="1" applyAlignment="1">
      <alignment vertical="center" wrapText="1" readingOrder="1"/>
    </xf>
    <xf numFmtId="6" fontId="2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'Dados eurinepé'!$B$1</c:f>
              <c:strCache>
                <c:ptCount val="1"/>
                <c:pt idx="0">
                  <c:v>PIB Nominal (R$ Inteiros)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'Dados eurinepé'!$A$2:$A$11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'Dados eurinepé'!$B$2:$B$11</c:f>
              <c:numCache>
                <c:formatCode>"R$"#,##0_);[Red]\("R$"#,##0\)</c:formatCode>
                <c:ptCount val="10"/>
                <c:pt idx="0">
                  <c:v>195918000</c:v>
                </c:pt>
                <c:pt idx="1">
                  <c:v>198802000</c:v>
                </c:pt>
                <c:pt idx="2">
                  <c:v>226786000</c:v>
                </c:pt>
                <c:pt idx="3">
                  <c:v>225845000</c:v>
                </c:pt>
                <c:pt idx="4">
                  <c:v>253948000</c:v>
                </c:pt>
                <c:pt idx="5">
                  <c:v>283435000</c:v>
                </c:pt>
                <c:pt idx="6">
                  <c:v>332969000</c:v>
                </c:pt>
                <c:pt idx="7">
                  <c:v>366908000</c:v>
                </c:pt>
                <c:pt idx="8">
                  <c:v>367456000</c:v>
                </c:pt>
                <c:pt idx="9">
                  <c:v>381564000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87-45E4-BE2F-47321DE27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234432"/>
        <c:axId val="210244512"/>
      </c:lineChart>
      <c:catAx>
        <c:axId val="21023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244512"/>
        <c:crosses val="autoZero"/>
        <c:auto val="1"/>
        <c:lblAlgn val="ctr"/>
        <c:lblOffset val="100"/>
        <c:noMultiLvlLbl val="0"/>
      </c:catAx>
      <c:valAx>
        <c:axId val="2102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_);[Red]\(&quot;R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23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Planilha1!$J$1:$J$9</c:f>
              <c:strCache>
                <c:ptCount val="9"/>
                <c:pt idx="8">
                  <c:v>Lábrea: Despesa REAL (R$)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Planilha1!$G$10:$G$19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Planilha1!$J$10:$J$19</c:f>
              <c:numCache>
                <c:formatCode>"R$"#,##0_);[Red]\("R$"#,##0\)</c:formatCode>
                <c:ptCount val="10"/>
                <c:pt idx="0">
                  <c:v>105200000</c:v>
                </c:pt>
                <c:pt idx="1">
                  <c:v>110000000</c:v>
                </c:pt>
                <c:pt idx="2">
                  <c:v>114800000</c:v>
                </c:pt>
                <c:pt idx="3">
                  <c:v>113500000</c:v>
                </c:pt>
                <c:pt idx="4">
                  <c:v>116300000</c:v>
                </c:pt>
                <c:pt idx="5">
                  <c:v>121000000</c:v>
                </c:pt>
                <c:pt idx="6">
                  <c:v>125400000</c:v>
                </c:pt>
                <c:pt idx="7">
                  <c:v>117300000</c:v>
                </c:pt>
                <c:pt idx="8">
                  <c:v>120500000</c:v>
                </c:pt>
                <c:pt idx="9">
                  <c:v>122700000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D0-4211-B6E5-6B479D14D86A}"/>
            </c:ext>
          </c:extLst>
        </c:ser>
        <c:ser>
          <c:idx val="1"/>
          <c:order val="1"/>
          <c:tx>
            <c:strRef>
              <c:f>Planilha1!$L$1:$L$9</c:f>
              <c:strCache>
                <c:ptCount val="9"/>
                <c:pt idx="8">
                  <c:v>Eirunepé: Despesa REAL (R$)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Planilha1!$G$10:$G$19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Planilha1!$L$10:$L$19</c:f>
              <c:numCache>
                <c:formatCode>"R$"#,##0_);[Red]\("R$"#,##0\)</c:formatCode>
                <c:ptCount val="10"/>
                <c:pt idx="0">
                  <c:v>91100000</c:v>
                </c:pt>
                <c:pt idx="1">
                  <c:v>92000000</c:v>
                </c:pt>
                <c:pt idx="2">
                  <c:v>94500000</c:v>
                </c:pt>
                <c:pt idx="3">
                  <c:v>95000000</c:v>
                </c:pt>
                <c:pt idx="4">
                  <c:v>97800000</c:v>
                </c:pt>
                <c:pt idx="5">
                  <c:v>98500000</c:v>
                </c:pt>
                <c:pt idx="6">
                  <c:v>103900000</c:v>
                </c:pt>
                <c:pt idx="7">
                  <c:v>101000000</c:v>
                </c:pt>
                <c:pt idx="8">
                  <c:v>102300000</c:v>
                </c:pt>
                <c:pt idx="9">
                  <c:v>104200000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D0-4211-B6E5-6B479D14D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5604672"/>
        <c:axId val="1045596992"/>
      </c:lineChart>
      <c:catAx>
        <c:axId val="10456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5596992"/>
        <c:crosses val="autoZero"/>
        <c:auto val="1"/>
        <c:lblAlgn val="ctr"/>
        <c:lblOffset val="100"/>
        <c:noMultiLvlLbl val="0"/>
      </c:catAx>
      <c:valAx>
        <c:axId val="104559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_);[Red]\(&quot;R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560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Planilha1!$I$37</c:f>
              <c:strCache>
                <c:ptCount val="1"/>
                <c:pt idx="0">
                  <c:v>Lábrea: Despesa REAL (R$)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Planilha1!$G$38:$G$47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Planilha1!$I$38:$I$47</c:f>
              <c:numCache>
                <c:formatCode>"R$"#,##0_);[Red]\("R$"#,##0\)</c:formatCode>
                <c:ptCount val="10"/>
                <c:pt idx="0">
                  <c:v>105487683</c:v>
                </c:pt>
                <c:pt idx="1">
                  <c:v>110312730</c:v>
                </c:pt>
                <c:pt idx="2">
                  <c:v>115101415</c:v>
                </c:pt>
                <c:pt idx="3">
                  <c:v>113804661</c:v>
                </c:pt>
                <c:pt idx="4">
                  <c:v>116652422</c:v>
                </c:pt>
                <c:pt idx="5">
                  <c:v>121383337</c:v>
                </c:pt>
                <c:pt idx="6">
                  <c:v>125711233</c:v>
                </c:pt>
                <c:pt idx="7">
                  <c:v>117682026</c:v>
                </c:pt>
                <c:pt idx="8">
                  <c:v>120806534</c:v>
                </c:pt>
                <c:pt idx="9">
                  <c:v>122700000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F4-4D15-AF89-FDF51F96B855}"/>
            </c:ext>
          </c:extLst>
        </c:ser>
        <c:ser>
          <c:idx val="1"/>
          <c:order val="1"/>
          <c:tx>
            <c:strRef>
              <c:f>Planilha1!$J$37</c:f>
              <c:strCache>
                <c:ptCount val="1"/>
                <c:pt idx="0">
                  <c:v>Eirunepé: Despesa REAL (R$)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Planilha1!$G$38:$G$47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Planilha1!$J$38:$J$47</c:f>
              <c:numCache>
                <c:formatCode>"R$"#,##0_);[Red]\("R$"#,##0\)</c:formatCode>
                <c:ptCount val="10"/>
                <c:pt idx="0">
                  <c:v>91349035</c:v>
                </c:pt>
                <c:pt idx="1">
                  <c:v>92261556</c:v>
                </c:pt>
                <c:pt idx="2">
                  <c:v>94747502</c:v>
                </c:pt>
                <c:pt idx="3">
                  <c:v>95253300</c:v>
                </c:pt>
                <c:pt idx="4">
                  <c:v>98100125</c:v>
                </c:pt>
                <c:pt idx="5">
                  <c:v>98812023</c:v>
                </c:pt>
                <c:pt idx="6">
                  <c:v>104156402</c:v>
                </c:pt>
                <c:pt idx="7">
                  <c:v>101328718</c:v>
                </c:pt>
                <c:pt idx="8">
                  <c:v>102560236</c:v>
                </c:pt>
                <c:pt idx="9">
                  <c:v>104200000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F4-4D15-AF89-FDF51F96B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2784912"/>
        <c:axId val="1042789232"/>
      </c:lineChart>
      <c:catAx>
        <c:axId val="104278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2789232"/>
        <c:crosses val="autoZero"/>
        <c:auto val="1"/>
        <c:lblAlgn val="ctr"/>
        <c:lblOffset val="100"/>
        <c:noMultiLvlLbl val="0"/>
      </c:catAx>
      <c:valAx>
        <c:axId val="104278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_);[Red]\(&quot;R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278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0</xdr:row>
      <xdr:rowOff>795337</xdr:rowOff>
    </xdr:from>
    <xdr:to>
      <xdr:col>13</xdr:col>
      <xdr:colOff>504825</xdr:colOff>
      <xdr:row>3</xdr:row>
      <xdr:rowOff>728662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5B3E1D-E325-D959-F9AB-830A05C66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19</xdr:row>
      <xdr:rowOff>128587</xdr:rowOff>
    </xdr:from>
    <xdr:to>
      <xdr:col>9</xdr:col>
      <xdr:colOff>485775</xdr:colOff>
      <xdr:row>34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B29DD9-6BA3-A1EC-939B-A6EC74B3C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85725</xdr:colOff>
      <xdr:row>24</xdr:row>
      <xdr:rowOff>14287</xdr:rowOff>
    </xdr:from>
    <xdr:to>
      <xdr:col>12</xdr:col>
      <xdr:colOff>466725</xdr:colOff>
      <xdr:row>37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4F9FC80-4BBB-BEDD-46E9-0EE3AD2EC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opLeftCell="A10" workbookViewId="0">
      <selection activeCell="B16" sqref="B16:B25"/>
    </sheetView>
  </sheetViews>
  <sheetFormatPr defaultRowHeight="15" x14ac:dyDescent="0.25"/>
  <cols>
    <col min="2" max="3" width="18" bestFit="1" customWidth="1"/>
  </cols>
  <sheetData>
    <row r="1" spans="1:3" x14ac:dyDescent="0.25">
      <c r="A1" t="s">
        <v>2</v>
      </c>
    </row>
    <row r="2" spans="1:3" x14ac:dyDescent="0.25">
      <c r="A2" t="s">
        <v>0</v>
      </c>
      <c r="B2" t="s">
        <v>1</v>
      </c>
    </row>
    <row r="3" spans="1:3" x14ac:dyDescent="0.25">
      <c r="A3">
        <v>2014</v>
      </c>
      <c r="B3" s="1">
        <v>368575620</v>
      </c>
      <c r="C3" s="1"/>
    </row>
    <row r="4" spans="1:3" x14ac:dyDescent="0.25">
      <c r="A4">
        <v>2015</v>
      </c>
      <c r="B4" s="1">
        <v>390961050</v>
      </c>
      <c r="C4" s="1"/>
    </row>
    <row r="5" spans="1:3" x14ac:dyDescent="0.25">
      <c r="A5">
        <v>2016</v>
      </c>
      <c r="B5" s="1">
        <v>449071360</v>
      </c>
      <c r="C5" s="1"/>
    </row>
    <row r="6" spans="1:3" x14ac:dyDescent="0.25">
      <c r="A6">
        <v>2017</v>
      </c>
      <c r="B6" s="1">
        <v>495747110</v>
      </c>
      <c r="C6" s="1"/>
    </row>
    <row r="7" spans="1:3" x14ac:dyDescent="0.25">
      <c r="A7">
        <v>2018</v>
      </c>
      <c r="B7" s="1">
        <v>493720010</v>
      </c>
      <c r="C7" s="1"/>
    </row>
    <row r="8" spans="1:3" x14ac:dyDescent="0.25">
      <c r="A8">
        <v>2019</v>
      </c>
      <c r="B8" s="1">
        <v>500460390</v>
      </c>
      <c r="C8" s="1"/>
    </row>
    <row r="9" spans="1:3" x14ac:dyDescent="0.25">
      <c r="A9">
        <v>2020</v>
      </c>
      <c r="B9" s="1">
        <v>556266760</v>
      </c>
      <c r="C9" s="1"/>
    </row>
    <row r="10" spans="1:3" x14ac:dyDescent="0.25">
      <c r="A10">
        <v>2021</v>
      </c>
      <c r="B10" s="1">
        <v>625197780</v>
      </c>
      <c r="C10" s="1"/>
    </row>
    <row r="11" spans="1:3" x14ac:dyDescent="0.25">
      <c r="A11">
        <v>2022</v>
      </c>
      <c r="B11" s="1">
        <v>665442350</v>
      </c>
      <c r="C11" s="1"/>
    </row>
    <row r="12" spans="1:3" x14ac:dyDescent="0.25">
      <c r="A12">
        <v>2023</v>
      </c>
      <c r="B12" s="1">
        <v>742982100</v>
      </c>
      <c r="C12" s="1"/>
    </row>
    <row r="14" spans="1:3" x14ac:dyDescent="0.25">
      <c r="A14" t="s">
        <v>3</v>
      </c>
    </row>
    <row r="15" spans="1:3" x14ac:dyDescent="0.25">
      <c r="A15" t="s">
        <v>0</v>
      </c>
      <c r="B15" t="s">
        <v>1</v>
      </c>
    </row>
    <row r="16" spans="1:3" x14ac:dyDescent="0.25">
      <c r="A16">
        <v>2014</v>
      </c>
      <c r="B16" s="1">
        <v>382850150</v>
      </c>
      <c r="C16" s="2"/>
    </row>
    <row r="17" spans="1:3" x14ac:dyDescent="0.25">
      <c r="A17">
        <v>2015</v>
      </c>
      <c r="B17" s="1">
        <v>403200200</v>
      </c>
      <c r="C17" s="2"/>
    </row>
    <row r="18" spans="1:3" x14ac:dyDescent="0.25">
      <c r="A18">
        <v>2016</v>
      </c>
      <c r="B18" s="1">
        <v>398026870</v>
      </c>
      <c r="C18" s="2"/>
    </row>
    <row r="19" spans="1:3" x14ac:dyDescent="0.25">
      <c r="A19">
        <v>2017</v>
      </c>
      <c r="B19" s="1">
        <v>434005990</v>
      </c>
      <c r="C19" s="2"/>
    </row>
    <row r="20" spans="1:3" x14ac:dyDescent="0.25">
      <c r="A20">
        <v>2018</v>
      </c>
      <c r="B20" s="1">
        <v>518216440</v>
      </c>
      <c r="C20" s="2"/>
    </row>
    <row r="21" spans="1:3" x14ac:dyDescent="0.25">
      <c r="A21">
        <v>2019</v>
      </c>
      <c r="B21" s="1">
        <v>478813980</v>
      </c>
      <c r="C21" s="2"/>
    </row>
    <row r="22" spans="1:3" x14ac:dyDescent="0.25">
      <c r="A22">
        <v>2020</v>
      </c>
      <c r="B22" s="1">
        <v>502983980</v>
      </c>
      <c r="C22" s="2"/>
    </row>
    <row r="23" spans="1:3" x14ac:dyDescent="0.25">
      <c r="A23">
        <v>2021</v>
      </c>
      <c r="B23" s="1">
        <v>568036070</v>
      </c>
      <c r="C23" s="2"/>
    </row>
    <row r="24" spans="1:3" x14ac:dyDescent="0.25">
      <c r="A24">
        <v>2022</v>
      </c>
      <c r="B24" s="1">
        <v>578742450</v>
      </c>
      <c r="C24" s="2"/>
    </row>
    <row r="25" spans="1:3" x14ac:dyDescent="0.25">
      <c r="A25">
        <v>2023</v>
      </c>
      <c r="B25" s="1">
        <v>683640160</v>
      </c>
      <c r="C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0802-E7EE-498A-820A-AE519044015C}">
  <dimension ref="A1:K21"/>
  <sheetViews>
    <sheetView zoomScale="85" zoomScaleNormal="85" workbookViewId="0">
      <selection activeCell="B31" sqref="B31"/>
    </sheetView>
  </sheetViews>
  <sheetFormatPr defaultColWidth="28.85546875" defaultRowHeight="15" x14ac:dyDescent="0.25"/>
  <sheetData>
    <row r="1" spans="1:11" ht="30.75" thickBot="1" x14ac:dyDescent="0.3">
      <c r="A1" s="3" t="s">
        <v>4</v>
      </c>
      <c r="B1" s="3" t="s">
        <v>5</v>
      </c>
      <c r="C1" s="4" t="s">
        <v>6</v>
      </c>
    </row>
    <row r="2" spans="1:11" ht="15.75" thickBot="1" x14ac:dyDescent="0.3">
      <c r="A2" s="3">
        <v>2014</v>
      </c>
      <c r="B2" s="5">
        <v>195918000</v>
      </c>
      <c r="C2" s="6" t="s">
        <v>7</v>
      </c>
    </row>
    <row r="3" spans="1:11" ht="15.75" thickBot="1" x14ac:dyDescent="0.3">
      <c r="A3" s="3">
        <v>2015</v>
      </c>
      <c r="B3" s="5">
        <v>198802000</v>
      </c>
      <c r="C3" s="6" t="s">
        <v>8</v>
      </c>
    </row>
    <row r="4" spans="1:11" ht="15.75" thickBot="1" x14ac:dyDescent="0.3">
      <c r="A4" s="3">
        <v>2016</v>
      </c>
      <c r="B4" s="5">
        <v>226786000</v>
      </c>
      <c r="C4" s="6" t="s">
        <v>9</v>
      </c>
    </row>
    <row r="5" spans="1:11" ht="15.75" thickBot="1" x14ac:dyDescent="0.3">
      <c r="A5" s="3">
        <v>2017</v>
      </c>
      <c r="B5" s="5">
        <v>225845000</v>
      </c>
      <c r="C5" s="6" t="s">
        <v>10</v>
      </c>
    </row>
    <row r="6" spans="1:11" ht="15.75" thickBot="1" x14ac:dyDescent="0.3">
      <c r="A6" s="3">
        <v>2018</v>
      </c>
      <c r="B6" s="5">
        <v>253948000</v>
      </c>
      <c r="C6" s="6" t="s">
        <v>11</v>
      </c>
      <c r="G6" s="3" t="s">
        <v>17</v>
      </c>
      <c r="H6" s="3" t="s">
        <v>18</v>
      </c>
      <c r="I6" s="3" t="s">
        <v>19</v>
      </c>
      <c r="J6" s="3" t="s">
        <v>20</v>
      </c>
      <c r="K6" s="4" t="s">
        <v>19</v>
      </c>
    </row>
    <row r="7" spans="1:11" ht="30.75" thickBot="1" x14ac:dyDescent="0.3">
      <c r="A7" s="3">
        <v>2019</v>
      </c>
      <c r="B7" s="5">
        <v>283435000</v>
      </c>
      <c r="C7" s="6" t="s">
        <v>12</v>
      </c>
      <c r="G7" s="3" t="s">
        <v>21</v>
      </c>
      <c r="H7" s="7">
        <v>3518291.4</v>
      </c>
      <c r="I7" s="8">
        <v>2.8199999999999999E-2</v>
      </c>
      <c r="J7" s="7">
        <v>1942810.15</v>
      </c>
      <c r="K7" s="9">
        <v>1.8499999999999999E-2</v>
      </c>
    </row>
    <row r="8" spans="1:11" ht="30.75" thickBot="1" x14ac:dyDescent="0.3">
      <c r="A8" s="3">
        <v>2020</v>
      </c>
      <c r="B8" s="5">
        <v>332969000</v>
      </c>
      <c r="C8" s="6" t="s">
        <v>13</v>
      </c>
      <c r="G8" s="3" t="s">
        <v>22</v>
      </c>
      <c r="H8" s="7">
        <v>82215480.950000003</v>
      </c>
      <c r="I8" s="8">
        <v>0.65849999999999997</v>
      </c>
      <c r="J8" s="7">
        <v>70218495.299999997</v>
      </c>
      <c r="K8" s="9">
        <v>0.66839999999999999</v>
      </c>
    </row>
    <row r="9" spans="1:11" ht="30.75" thickBot="1" x14ac:dyDescent="0.3">
      <c r="A9" s="3">
        <v>2021</v>
      </c>
      <c r="B9" s="5">
        <v>366908000</v>
      </c>
      <c r="C9" s="6" t="s">
        <v>14</v>
      </c>
      <c r="G9" s="3" t="s">
        <v>23</v>
      </c>
      <c r="H9" s="7">
        <v>21050312.199999999</v>
      </c>
      <c r="I9" s="8">
        <v>0.1686</v>
      </c>
      <c r="J9" s="7">
        <v>16942311.5</v>
      </c>
      <c r="K9" s="9">
        <v>0.1613</v>
      </c>
    </row>
    <row r="10" spans="1:11" ht="30.75" thickBot="1" x14ac:dyDescent="0.3">
      <c r="A10" s="3">
        <v>2022</v>
      </c>
      <c r="B10" s="5">
        <v>367456000</v>
      </c>
      <c r="C10" s="6" t="s">
        <v>15</v>
      </c>
      <c r="G10" s="3" t="s">
        <v>24</v>
      </c>
      <c r="H10" s="7">
        <v>18065915.449999999</v>
      </c>
      <c r="I10" s="8">
        <v>0.1447</v>
      </c>
      <c r="J10" s="7">
        <v>15946383.050000001</v>
      </c>
      <c r="K10" s="9">
        <v>0.15179999999999999</v>
      </c>
    </row>
    <row r="11" spans="1:11" ht="43.5" thickBot="1" x14ac:dyDescent="0.3">
      <c r="A11" s="3">
        <v>2023</v>
      </c>
      <c r="B11" s="5">
        <v>381564000</v>
      </c>
      <c r="C11" s="6" t="s">
        <v>16</v>
      </c>
      <c r="G11" s="3" t="s">
        <v>25</v>
      </c>
      <c r="H11" s="10">
        <v>124850000</v>
      </c>
      <c r="I11" s="8">
        <v>1</v>
      </c>
      <c r="J11" s="10">
        <v>105050000</v>
      </c>
      <c r="K11" s="9">
        <v>1</v>
      </c>
    </row>
    <row r="15" spans="1:11" ht="15.75" thickBot="1" x14ac:dyDescent="0.3"/>
    <row r="16" spans="1:11" ht="15.75" thickBot="1" x14ac:dyDescent="0.3">
      <c r="A16" s="3" t="s">
        <v>17</v>
      </c>
      <c r="B16" s="3" t="s">
        <v>18</v>
      </c>
      <c r="C16" s="3" t="s">
        <v>19</v>
      </c>
      <c r="D16" s="3" t="s">
        <v>20</v>
      </c>
      <c r="E16" s="4" t="s">
        <v>19</v>
      </c>
    </row>
    <row r="17" spans="1:5" ht="30.75" thickBot="1" x14ac:dyDescent="0.3">
      <c r="A17" s="3" t="s">
        <v>21</v>
      </c>
      <c r="B17" s="7">
        <v>3518291.4</v>
      </c>
      <c r="C17" s="8">
        <v>2.8199999999999999E-2</v>
      </c>
      <c r="D17" s="7">
        <v>1942810.15</v>
      </c>
      <c r="E17" s="9">
        <v>1.8499999999999999E-2</v>
      </c>
    </row>
    <row r="18" spans="1:5" ht="30.75" thickBot="1" x14ac:dyDescent="0.3">
      <c r="A18" s="3" t="s">
        <v>22</v>
      </c>
      <c r="B18" s="7">
        <v>82215480.950000003</v>
      </c>
      <c r="C18" s="8">
        <v>0.65849999999999997</v>
      </c>
      <c r="D18" s="7">
        <v>70218495.299999997</v>
      </c>
      <c r="E18" s="9">
        <v>0.66839999999999999</v>
      </c>
    </row>
    <row r="19" spans="1:5" ht="30.75" thickBot="1" x14ac:dyDescent="0.3">
      <c r="A19" s="3" t="s">
        <v>23</v>
      </c>
      <c r="B19" s="7">
        <v>21050312.199999999</v>
      </c>
      <c r="C19" s="8">
        <v>0.1686</v>
      </c>
      <c r="D19" s="7">
        <v>16942311.5</v>
      </c>
      <c r="E19" s="9">
        <v>0.1613</v>
      </c>
    </row>
    <row r="20" spans="1:5" ht="30.75" thickBot="1" x14ac:dyDescent="0.3">
      <c r="A20" s="3" t="s">
        <v>24</v>
      </c>
      <c r="B20" s="7">
        <v>18065915.449999999</v>
      </c>
      <c r="C20" s="8">
        <v>0.1447</v>
      </c>
      <c r="D20" s="7">
        <v>15946383.050000001</v>
      </c>
      <c r="E20" s="9">
        <v>0.15179999999999999</v>
      </c>
    </row>
    <row r="21" spans="1:5" ht="30.75" thickBot="1" x14ac:dyDescent="0.3">
      <c r="A21" s="3" t="s">
        <v>25</v>
      </c>
      <c r="B21" s="10">
        <v>124850000</v>
      </c>
      <c r="C21" s="8">
        <v>1</v>
      </c>
      <c r="D21" s="10">
        <v>105050000</v>
      </c>
      <c r="E21" s="9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8DC96-AE76-4BA7-AC2F-E5C44F775C18}">
  <dimension ref="A1:L53"/>
  <sheetViews>
    <sheetView zoomScale="90" zoomScaleNormal="90" workbookViewId="0">
      <selection activeCell="G52" sqref="G52:K61"/>
    </sheetView>
  </sheetViews>
  <sheetFormatPr defaultColWidth="33" defaultRowHeight="15" x14ac:dyDescent="0.25"/>
  <cols>
    <col min="1" max="1" width="30.5703125" bestFit="1" customWidth="1"/>
    <col min="2" max="2" width="20.140625" bestFit="1" customWidth="1"/>
    <col min="3" max="3" width="17.28515625" bestFit="1" customWidth="1"/>
    <col min="4" max="4" width="20.28515625" bestFit="1" customWidth="1"/>
    <col min="5" max="5" width="17.28515625" bestFit="1" customWidth="1"/>
    <col min="6" max="6" width="31.85546875" bestFit="1" customWidth="1"/>
    <col min="7" max="7" width="15.42578125" customWidth="1"/>
    <col min="8" max="8" width="25.85546875" bestFit="1" customWidth="1"/>
    <col min="9" max="9" width="28.5703125" bestFit="1" customWidth="1"/>
    <col min="10" max="10" width="30.85546875" bestFit="1" customWidth="1"/>
    <col min="11" max="11" width="31" bestFit="1" customWidth="1"/>
    <col min="12" max="12" width="31.85546875" bestFit="1" customWidth="1"/>
  </cols>
  <sheetData>
    <row r="1" spans="1:12" ht="15.75" thickBot="1" x14ac:dyDescent="0.3">
      <c r="A1" s="3" t="s">
        <v>17</v>
      </c>
      <c r="B1" s="3" t="s">
        <v>18</v>
      </c>
      <c r="C1" s="3" t="s">
        <v>19</v>
      </c>
      <c r="D1" s="3" t="s">
        <v>20</v>
      </c>
      <c r="E1" s="4" t="s">
        <v>19</v>
      </c>
    </row>
    <row r="2" spans="1:12" ht="30.75" thickBot="1" x14ac:dyDescent="0.3">
      <c r="A2" s="3" t="s">
        <v>21</v>
      </c>
      <c r="B2" s="7">
        <v>3518291.4</v>
      </c>
      <c r="C2" s="8">
        <v>2.8199999999999999E-2</v>
      </c>
      <c r="D2" s="7">
        <v>1942810.15</v>
      </c>
      <c r="E2" s="9">
        <v>1.8499999999999999E-2</v>
      </c>
    </row>
    <row r="3" spans="1:12" ht="30.75" thickBot="1" x14ac:dyDescent="0.3">
      <c r="A3" s="3" t="s">
        <v>22</v>
      </c>
      <c r="B3" s="7">
        <v>82215480.950000003</v>
      </c>
      <c r="C3" s="8">
        <v>0.65849999999999997</v>
      </c>
      <c r="D3" s="7">
        <v>70218495.299999997</v>
      </c>
      <c r="E3" s="9">
        <v>0.66839999999999999</v>
      </c>
    </row>
    <row r="4" spans="1:12" ht="30.75" thickBot="1" x14ac:dyDescent="0.3">
      <c r="A4" s="3" t="s">
        <v>23</v>
      </c>
      <c r="B4" s="7">
        <v>21050312.199999999</v>
      </c>
      <c r="C4" s="8">
        <v>0.1686</v>
      </c>
      <c r="D4" s="7">
        <v>16942311.5</v>
      </c>
      <c r="E4" s="9">
        <v>0.1613</v>
      </c>
    </row>
    <row r="5" spans="1:12" ht="30.75" thickBot="1" x14ac:dyDescent="0.3">
      <c r="A5" s="3" t="s">
        <v>24</v>
      </c>
      <c r="B5" s="7">
        <v>18065915.449999999</v>
      </c>
      <c r="C5" s="8">
        <v>0.1447</v>
      </c>
      <c r="D5" s="7">
        <v>15946383.050000001</v>
      </c>
      <c r="E5" s="9">
        <v>0.15179999999999999</v>
      </c>
    </row>
    <row r="6" spans="1:12" ht="15.75" thickBot="1" x14ac:dyDescent="0.3">
      <c r="A6" s="3" t="s">
        <v>25</v>
      </c>
      <c r="B6" s="10">
        <v>124850000</v>
      </c>
      <c r="C6" s="8">
        <v>1</v>
      </c>
      <c r="D6" s="10">
        <v>105050000</v>
      </c>
      <c r="E6" s="9">
        <v>1</v>
      </c>
    </row>
    <row r="8" spans="1:12" ht="15.75" thickBot="1" x14ac:dyDescent="0.3"/>
    <row r="9" spans="1:12" ht="30.75" thickBot="1" x14ac:dyDescent="0.3">
      <c r="G9" s="3" t="s">
        <v>4</v>
      </c>
      <c r="H9" s="3" t="s">
        <v>26</v>
      </c>
      <c r="I9" s="3" t="s">
        <v>27</v>
      </c>
      <c r="J9" s="3" t="s">
        <v>28</v>
      </c>
      <c r="K9" s="3" t="s">
        <v>29</v>
      </c>
      <c r="L9" s="4" t="s">
        <v>30</v>
      </c>
    </row>
    <row r="10" spans="1:12" ht="15.75" thickBot="1" x14ac:dyDescent="0.3">
      <c r="G10" s="3">
        <v>2015</v>
      </c>
      <c r="H10" s="11">
        <v>1.72</v>
      </c>
      <c r="I10" s="5">
        <v>61162790</v>
      </c>
      <c r="J10" s="12">
        <v>105200000</v>
      </c>
      <c r="K10" s="5">
        <v>52965116</v>
      </c>
      <c r="L10" s="13">
        <v>91100000</v>
      </c>
    </row>
    <row r="11" spans="1:12" ht="15.75" thickBot="1" x14ac:dyDescent="0.3">
      <c r="G11" s="3">
        <v>2016</v>
      </c>
      <c r="H11" s="11">
        <v>1.6180000000000001</v>
      </c>
      <c r="I11" s="5">
        <v>67985166</v>
      </c>
      <c r="J11" s="12">
        <v>110000000</v>
      </c>
      <c r="K11" s="5">
        <v>56860321</v>
      </c>
      <c r="L11" s="13">
        <v>92000000</v>
      </c>
    </row>
    <row r="12" spans="1:12" ht="15.75" thickBot="1" x14ac:dyDescent="0.3">
      <c r="G12" s="3">
        <v>2017</v>
      </c>
      <c r="H12" s="11">
        <v>1.5720000000000001</v>
      </c>
      <c r="I12" s="5">
        <v>73027990</v>
      </c>
      <c r="J12" s="12">
        <v>114800000</v>
      </c>
      <c r="K12" s="5">
        <v>60114504</v>
      </c>
      <c r="L12" s="13">
        <v>94500000</v>
      </c>
    </row>
    <row r="13" spans="1:12" ht="15.75" thickBot="1" x14ac:dyDescent="0.3">
      <c r="G13" s="3">
        <v>2018</v>
      </c>
      <c r="H13" s="11">
        <v>1.5149999999999999</v>
      </c>
      <c r="I13" s="5">
        <v>74917491</v>
      </c>
      <c r="J13" s="12">
        <v>113500000</v>
      </c>
      <c r="K13" s="5">
        <v>62706270</v>
      </c>
      <c r="L13" s="13">
        <v>95000000</v>
      </c>
    </row>
    <row r="14" spans="1:12" ht="15.75" thickBot="1" x14ac:dyDescent="0.3">
      <c r="G14" s="3">
        <v>2019</v>
      </c>
      <c r="H14" s="11">
        <v>1.452</v>
      </c>
      <c r="I14" s="5">
        <v>80096418</v>
      </c>
      <c r="J14" s="12">
        <v>116300000</v>
      </c>
      <c r="K14" s="5">
        <v>67355372</v>
      </c>
      <c r="L14" s="13">
        <v>97800000</v>
      </c>
    </row>
    <row r="15" spans="1:12" ht="15.75" thickBot="1" x14ac:dyDescent="0.3">
      <c r="G15" s="3">
        <v>2020</v>
      </c>
      <c r="H15" s="11">
        <v>1.389</v>
      </c>
      <c r="I15" s="5">
        <v>87113031</v>
      </c>
      <c r="J15" s="12">
        <v>121000000</v>
      </c>
      <c r="K15" s="5">
        <v>70914326</v>
      </c>
      <c r="L15" s="13">
        <v>98500000</v>
      </c>
    </row>
    <row r="16" spans="1:12" ht="15.75" thickBot="1" x14ac:dyDescent="0.3">
      <c r="G16" s="3">
        <v>2021</v>
      </c>
      <c r="H16" s="11">
        <v>1.262</v>
      </c>
      <c r="I16" s="5">
        <v>99366085</v>
      </c>
      <c r="J16" s="12">
        <v>125400000</v>
      </c>
      <c r="K16" s="5">
        <v>82329635</v>
      </c>
      <c r="L16" s="13">
        <v>103900000</v>
      </c>
    </row>
    <row r="17" spans="7:12" ht="15.75" thickBot="1" x14ac:dyDescent="0.3">
      <c r="G17" s="3">
        <v>2022</v>
      </c>
      <c r="H17" s="11">
        <v>1.1919999999999999</v>
      </c>
      <c r="I17" s="5">
        <v>98406040</v>
      </c>
      <c r="J17" s="12">
        <v>117300000</v>
      </c>
      <c r="K17" s="5">
        <v>84731543</v>
      </c>
      <c r="L17" s="13">
        <v>101000000</v>
      </c>
    </row>
    <row r="18" spans="7:12" ht="15.75" thickBot="1" x14ac:dyDescent="0.3">
      <c r="G18" s="3">
        <v>2023</v>
      </c>
      <c r="H18" s="11">
        <v>1.1399999999999999</v>
      </c>
      <c r="I18" s="5">
        <v>105701754</v>
      </c>
      <c r="J18" s="12">
        <v>120500000</v>
      </c>
      <c r="K18" s="5">
        <v>89736842</v>
      </c>
      <c r="L18" s="13">
        <v>102300000</v>
      </c>
    </row>
    <row r="19" spans="7:12" ht="15.75" thickBot="1" x14ac:dyDescent="0.3">
      <c r="G19" s="3">
        <v>2024</v>
      </c>
      <c r="H19" s="11">
        <v>1</v>
      </c>
      <c r="I19" s="5">
        <v>122700000</v>
      </c>
      <c r="J19" s="12">
        <v>122700000</v>
      </c>
      <c r="K19" s="5">
        <v>104200000</v>
      </c>
      <c r="L19" s="13">
        <v>104200000</v>
      </c>
    </row>
    <row r="36" spans="7:10" ht="15.75" thickBot="1" x14ac:dyDescent="0.3"/>
    <row r="37" spans="7:10" ht="30.75" thickBot="1" x14ac:dyDescent="0.3">
      <c r="G37" s="3" t="s">
        <v>4</v>
      </c>
      <c r="H37" s="3" t="s">
        <v>31</v>
      </c>
      <c r="I37" s="3" t="s">
        <v>28</v>
      </c>
      <c r="J37" s="4" t="s">
        <v>30</v>
      </c>
    </row>
    <row r="38" spans="7:10" ht="15.75" thickBot="1" x14ac:dyDescent="0.3">
      <c r="G38" s="3">
        <v>2015</v>
      </c>
      <c r="H38" s="3">
        <v>1.7246999999999999</v>
      </c>
      <c r="I38" s="5">
        <v>105487683</v>
      </c>
      <c r="J38" s="14">
        <v>91349035</v>
      </c>
    </row>
    <row r="39" spans="7:10" ht="15.75" thickBot="1" x14ac:dyDescent="0.3">
      <c r="G39" s="3">
        <v>2016</v>
      </c>
      <c r="H39" s="3">
        <v>1.6226</v>
      </c>
      <c r="I39" s="5">
        <v>110312730</v>
      </c>
      <c r="J39" s="14">
        <v>92261556</v>
      </c>
    </row>
    <row r="40" spans="7:10" ht="15.75" thickBot="1" x14ac:dyDescent="0.3">
      <c r="G40" s="3">
        <v>2017</v>
      </c>
      <c r="H40" s="3">
        <v>1.5761000000000001</v>
      </c>
      <c r="I40" s="5">
        <v>115101415</v>
      </c>
      <c r="J40" s="14">
        <v>94747502</v>
      </c>
    </row>
    <row r="41" spans="7:10" ht="15.75" thickBot="1" x14ac:dyDescent="0.3">
      <c r="G41" s="3">
        <v>2018</v>
      </c>
      <c r="H41" s="3">
        <v>1.5190999999999999</v>
      </c>
      <c r="I41" s="5">
        <v>113804661</v>
      </c>
      <c r="J41" s="14">
        <v>95253300</v>
      </c>
    </row>
    <row r="42" spans="7:10" ht="15.75" thickBot="1" x14ac:dyDescent="0.3">
      <c r="G42" s="3">
        <v>2019</v>
      </c>
      <c r="H42" s="3">
        <v>1.4563999999999999</v>
      </c>
      <c r="I42" s="5">
        <v>116652422</v>
      </c>
      <c r="J42" s="14">
        <v>98100125</v>
      </c>
    </row>
    <row r="43" spans="7:10" ht="15.75" thickBot="1" x14ac:dyDescent="0.3">
      <c r="G43" s="3">
        <v>2020</v>
      </c>
      <c r="H43" s="3">
        <v>1.3934</v>
      </c>
      <c r="I43" s="5">
        <v>121383337</v>
      </c>
      <c r="J43" s="14">
        <v>98812023</v>
      </c>
    </row>
    <row r="44" spans="7:10" ht="15.75" thickBot="1" x14ac:dyDescent="0.3">
      <c r="G44" s="3">
        <v>2021</v>
      </c>
      <c r="H44" s="3">
        <v>1.2650999999999999</v>
      </c>
      <c r="I44" s="5">
        <v>125711233</v>
      </c>
      <c r="J44" s="14">
        <v>104156402</v>
      </c>
    </row>
    <row r="45" spans="7:10" ht="15.75" thickBot="1" x14ac:dyDescent="0.3">
      <c r="G45" s="3">
        <v>2022</v>
      </c>
      <c r="H45" s="3">
        <v>1.1959</v>
      </c>
      <c r="I45" s="5">
        <v>117682026</v>
      </c>
      <c r="J45" s="14">
        <v>101328718</v>
      </c>
    </row>
    <row r="46" spans="7:10" ht="15.75" thickBot="1" x14ac:dyDescent="0.3">
      <c r="G46" s="3">
        <v>2023</v>
      </c>
      <c r="H46" s="3">
        <v>1.1429</v>
      </c>
      <c r="I46" s="5">
        <v>120806534</v>
      </c>
      <c r="J46" s="14">
        <v>102560236</v>
      </c>
    </row>
    <row r="47" spans="7:10" ht="15.75" thickBot="1" x14ac:dyDescent="0.3">
      <c r="G47" s="3">
        <v>2024</v>
      </c>
      <c r="H47" s="3">
        <v>1</v>
      </c>
      <c r="I47" s="5">
        <v>122700000</v>
      </c>
      <c r="J47" s="14">
        <v>104200000</v>
      </c>
    </row>
    <row r="51" spans="7:7" ht="15.75" thickBot="1" x14ac:dyDescent="0.3"/>
    <row r="52" spans="7:7" ht="15.75" thickBot="1" x14ac:dyDescent="0.3">
      <c r="G52" s="3"/>
    </row>
    <row r="53" spans="7:7" ht="15.75" thickBot="1" x14ac:dyDescent="0.3">
      <c r="G53" s="3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8F1D-B792-4BEE-A974-066B383840A9}">
  <dimension ref="A1:N125"/>
  <sheetViews>
    <sheetView tabSelected="1" topLeftCell="D1" workbookViewId="0">
      <selection activeCell="J17" sqref="J17:N27"/>
    </sheetView>
  </sheetViews>
  <sheetFormatPr defaultRowHeight="15" x14ac:dyDescent="0.25"/>
  <cols>
    <col min="1" max="1" width="35.7109375" bestFit="1" customWidth="1"/>
    <col min="2" max="2" width="9" bestFit="1" customWidth="1"/>
    <col min="3" max="3" width="4" bestFit="1" customWidth="1"/>
    <col min="4" max="4" width="10.140625" bestFit="1" customWidth="1"/>
    <col min="5" max="5" width="40.7109375" bestFit="1" customWidth="1"/>
    <col min="6" max="6" width="10" bestFit="1" customWidth="1"/>
    <col min="7" max="7" width="24.42578125" bestFit="1" customWidth="1"/>
    <col min="8" max="8" width="12" bestFit="1" customWidth="1"/>
    <col min="10" max="10" width="8.5703125" bestFit="1" customWidth="1"/>
    <col min="11" max="11" width="20.85546875" customWidth="1"/>
    <col min="12" max="12" width="17.85546875" customWidth="1"/>
    <col min="13" max="13" width="18.85546875" customWidth="1"/>
    <col min="14" max="14" width="17.5703125" customWidth="1"/>
  </cols>
  <sheetData>
    <row r="1" spans="1:14" ht="15.75" thickBot="1" x14ac:dyDescent="0.3">
      <c r="A1" t="s">
        <v>62</v>
      </c>
    </row>
    <row r="2" spans="1:14" ht="30.75" thickBot="1" x14ac:dyDescent="0.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J2" s="3" t="s">
        <v>4</v>
      </c>
      <c r="K2" s="3" t="s">
        <v>63</v>
      </c>
      <c r="L2" s="3" t="s">
        <v>64</v>
      </c>
      <c r="M2" s="3" t="s">
        <v>65</v>
      </c>
      <c r="N2" s="4" t="s">
        <v>66</v>
      </c>
    </row>
    <row r="3" spans="1:14" ht="15.75" thickBot="1" x14ac:dyDescent="0.3">
      <c r="A3" t="s">
        <v>41</v>
      </c>
      <c r="B3">
        <v>1302405</v>
      </c>
      <c r="C3" t="s">
        <v>42</v>
      </c>
      <c r="D3">
        <v>42439</v>
      </c>
      <c r="E3" t="s">
        <v>43</v>
      </c>
      <c r="F3" t="s">
        <v>44</v>
      </c>
      <c r="G3" t="s">
        <v>45</v>
      </c>
      <c r="H3">
        <v>12431201.789999999</v>
      </c>
      <c r="J3" s="3">
        <v>2015</v>
      </c>
      <c r="K3" s="7">
        <v>13003565.119999999</v>
      </c>
      <c r="L3" s="11">
        <v>1.7246999999999999</v>
      </c>
      <c r="M3" s="10">
        <v>22427248.760000002</v>
      </c>
      <c r="N3" s="15">
        <v>19</v>
      </c>
    </row>
    <row r="4" spans="1:14" ht="15.75" thickBot="1" x14ac:dyDescent="0.3">
      <c r="A4" t="s">
        <v>41</v>
      </c>
      <c r="B4">
        <v>1302405</v>
      </c>
      <c r="C4" t="s">
        <v>42</v>
      </c>
      <c r="D4">
        <v>42439</v>
      </c>
      <c r="E4" t="s">
        <v>46</v>
      </c>
      <c r="F4" t="s">
        <v>44</v>
      </c>
      <c r="G4" t="s">
        <v>45</v>
      </c>
      <c r="H4">
        <v>12431201.789999999</v>
      </c>
      <c r="J4" s="3">
        <v>2016</v>
      </c>
      <c r="K4" s="7">
        <v>13844757.98</v>
      </c>
      <c r="L4" s="11">
        <v>1.6226</v>
      </c>
      <c r="M4" s="10">
        <v>22464504.300000001</v>
      </c>
      <c r="N4" s="15">
        <v>17</v>
      </c>
    </row>
    <row r="5" spans="1:14" ht="15.75" thickBot="1" x14ac:dyDescent="0.3">
      <c r="A5" t="s">
        <v>41</v>
      </c>
      <c r="B5">
        <v>1302405</v>
      </c>
      <c r="C5" t="s">
        <v>42</v>
      </c>
      <c r="D5">
        <v>42439</v>
      </c>
      <c r="E5" t="s">
        <v>47</v>
      </c>
      <c r="F5" t="s">
        <v>44</v>
      </c>
      <c r="G5" t="s">
        <v>45</v>
      </c>
      <c r="H5">
        <v>11339544.880000001</v>
      </c>
      <c r="J5" s="3">
        <v>2017</v>
      </c>
      <c r="K5" s="7">
        <v>15651986.4</v>
      </c>
      <c r="L5" s="11">
        <v>1.5802</v>
      </c>
      <c r="M5" s="10">
        <v>24733268.91</v>
      </c>
      <c r="N5" s="15">
        <v>21</v>
      </c>
    </row>
    <row r="6" spans="1:14" ht="15.75" thickBot="1" x14ac:dyDescent="0.3">
      <c r="A6" t="s">
        <v>41</v>
      </c>
      <c r="B6">
        <v>1302405</v>
      </c>
      <c r="C6" t="s">
        <v>42</v>
      </c>
      <c r="D6">
        <v>42439</v>
      </c>
      <c r="E6" t="s">
        <v>49</v>
      </c>
      <c r="F6" t="s">
        <v>44</v>
      </c>
      <c r="G6" t="s">
        <v>45</v>
      </c>
      <c r="H6">
        <v>1091656.9099999999</v>
      </c>
      <c r="J6" s="3">
        <v>2018</v>
      </c>
      <c r="K6" s="7">
        <v>18230445.100000001</v>
      </c>
      <c r="L6" s="11">
        <v>1.5124</v>
      </c>
      <c r="M6" s="10">
        <v>27571725.170000002</v>
      </c>
      <c r="N6" s="15">
        <v>18</v>
      </c>
    </row>
    <row r="7" spans="1:14" ht="15.75" thickBot="1" x14ac:dyDescent="0.3">
      <c r="A7" t="s">
        <v>50</v>
      </c>
      <c r="B7">
        <v>1301407</v>
      </c>
      <c r="C7" t="s">
        <v>42</v>
      </c>
      <c r="D7">
        <v>33580</v>
      </c>
      <c r="E7" t="s">
        <v>43</v>
      </c>
      <c r="F7" t="s">
        <v>44</v>
      </c>
      <c r="G7" t="s">
        <v>45</v>
      </c>
      <c r="H7">
        <v>10142328.02</v>
      </c>
      <c r="J7" s="3">
        <v>2019</v>
      </c>
      <c r="K7" s="7">
        <v>17550880.120000001</v>
      </c>
      <c r="L7" s="11">
        <v>1.4498</v>
      </c>
      <c r="M7" s="10">
        <v>25445266</v>
      </c>
      <c r="N7" s="15">
        <v>16</v>
      </c>
    </row>
    <row r="8" spans="1:14" ht="15.75" thickBot="1" x14ac:dyDescent="0.3">
      <c r="A8" t="s">
        <v>50</v>
      </c>
      <c r="B8">
        <v>1301407</v>
      </c>
      <c r="C8" t="s">
        <v>42</v>
      </c>
      <c r="D8">
        <v>33580</v>
      </c>
      <c r="E8" t="s">
        <v>46</v>
      </c>
      <c r="F8" t="s">
        <v>44</v>
      </c>
      <c r="G8" t="s">
        <v>45</v>
      </c>
      <c r="H8">
        <v>10129454.720000001</v>
      </c>
      <c r="J8" s="3">
        <v>2020</v>
      </c>
      <c r="K8" s="7">
        <v>20102345.5</v>
      </c>
      <c r="L8" s="11">
        <v>1.387</v>
      </c>
      <c r="M8" s="10">
        <v>27881953.210000001</v>
      </c>
      <c r="N8" s="15">
        <v>15</v>
      </c>
    </row>
    <row r="9" spans="1:14" ht="15.75" thickBot="1" x14ac:dyDescent="0.3">
      <c r="A9" t="s">
        <v>50</v>
      </c>
      <c r="B9">
        <v>1301407</v>
      </c>
      <c r="C9" t="s">
        <v>42</v>
      </c>
      <c r="D9">
        <v>33580</v>
      </c>
      <c r="E9" t="s">
        <v>47</v>
      </c>
      <c r="F9" t="s">
        <v>44</v>
      </c>
      <c r="G9" t="s">
        <v>45</v>
      </c>
      <c r="H9">
        <v>9584351.0800000001</v>
      </c>
      <c r="J9" s="3">
        <v>2021</v>
      </c>
      <c r="K9" s="7">
        <v>22445670</v>
      </c>
      <c r="L9" s="11">
        <v>1.26</v>
      </c>
      <c r="M9" s="10">
        <v>28281544.199999999</v>
      </c>
      <c r="N9" s="15">
        <v>17</v>
      </c>
    </row>
    <row r="10" spans="1:14" ht="15.75" thickBot="1" x14ac:dyDescent="0.3">
      <c r="A10" t="s">
        <v>50</v>
      </c>
      <c r="B10">
        <v>1301407</v>
      </c>
      <c r="C10" t="s">
        <v>42</v>
      </c>
      <c r="D10">
        <v>33580</v>
      </c>
      <c r="E10" t="s">
        <v>48</v>
      </c>
      <c r="F10" t="s">
        <v>44</v>
      </c>
      <c r="G10" t="s">
        <v>45</v>
      </c>
      <c r="H10">
        <v>378523.9</v>
      </c>
      <c r="J10" s="3">
        <v>2022</v>
      </c>
      <c r="K10" s="7">
        <v>24550120.300000001</v>
      </c>
      <c r="L10" s="11">
        <v>1.18</v>
      </c>
      <c r="M10" s="10">
        <v>28969141.949999999</v>
      </c>
      <c r="N10" s="15">
        <v>14</v>
      </c>
    </row>
    <row r="11" spans="1:14" ht="15.75" thickBot="1" x14ac:dyDescent="0.3">
      <c r="A11" t="s">
        <v>50</v>
      </c>
      <c r="B11">
        <v>1301407</v>
      </c>
      <c r="C11" t="s">
        <v>42</v>
      </c>
      <c r="D11">
        <v>33580</v>
      </c>
      <c r="E11" t="s">
        <v>49</v>
      </c>
      <c r="F11" t="s">
        <v>44</v>
      </c>
      <c r="G11" t="s">
        <v>45</v>
      </c>
      <c r="H11">
        <v>559150.64</v>
      </c>
      <c r="J11" s="3">
        <v>2023</v>
      </c>
      <c r="K11" s="7">
        <v>27880440</v>
      </c>
      <c r="L11" s="11">
        <v>1.1200000000000001</v>
      </c>
      <c r="M11" s="10">
        <v>31226092.800000001</v>
      </c>
      <c r="N11" s="15">
        <v>13</v>
      </c>
    </row>
    <row r="12" spans="1:14" ht="15.75" thickBot="1" x14ac:dyDescent="0.3">
      <c r="J12" s="3">
        <v>2024</v>
      </c>
      <c r="K12" s="7">
        <v>29110550</v>
      </c>
      <c r="L12" s="11">
        <v>1</v>
      </c>
      <c r="M12" s="10">
        <v>29110550</v>
      </c>
      <c r="N12" s="15">
        <v>12</v>
      </c>
    </row>
    <row r="13" spans="1:14" x14ac:dyDescent="0.25">
      <c r="A13" t="s">
        <v>51</v>
      </c>
    </row>
    <row r="14" spans="1:14" x14ac:dyDescent="0.25">
      <c r="A14" t="s">
        <v>33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J14">
        <f>CORREL(M3:M12,N3:N12)</f>
        <v>-0.71735376462202205</v>
      </c>
    </row>
    <row r="15" spans="1:14" x14ac:dyDescent="0.25">
      <c r="A15" t="s">
        <v>41</v>
      </c>
      <c r="B15">
        <v>1302405</v>
      </c>
      <c r="C15" t="s">
        <v>42</v>
      </c>
      <c r="D15">
        <v>42439</v>
      </c>
      <c r="E15" t="s">
        <v>43</v>
      </c>
      <c r="F15" t="s">
        <v>44</v>
      </c>
      <c r="G15" t="s">
        <v>45</v>
      </c>
      <c r="H15">
        <v>10710964.49</v>
      </c>
    </row>
    <row r="16" spans="1:14" ht="15.75" thickBot="1" x14ac:dyDescent="0.3">
      <c r="A16" t="s">
        <v>41</v>
      </c>
      <c r="B16">
        <v>1302405</v>
      </c>
      <c r="C16" t="s">
        <v>42</v>
      </c>
      <c r="D16">
        <v>42439</v>
      </c>
      <c r="E16" t="s">
        <v>46</v>
      </c>
      <c r="F16" t="s">
        <v>44</v>
      </c>
      <c r="G16" t="s">
        <v>45</v>
      </c>
      <c r="H16">
        <v>10506768.99</v>
      </c>
    </row>
    <row r="17" spans="1:14" ht="30.75" thickBot="1" x14ac:dyDescent="0.3">
      <c r="A17" t="s">
        <v>41</v>
      </c>
      <c r="B17">
        <v>1302405</v>
      </c>
      <c r="C17" t="s">
        <v>42</v>
      </c>
      <c r="D17">
        <v>42439</v>
      </c>
      <c r="E17" t="s">
        <v>47</v>
      </c>
      <c r="F17" t="s">
        <v>44</v>
      </c>
      <c r="G17" t="s">
        <v>45</v>
      </c>
      <c r="H17">
        <v>10506768.99</v>
      </c>
      <c r="J17" s="3" t="s">
        <v>4</v>
      </c>
      <c r="K17" s="3" t="s">
        <v>67</v>
      </c>
      <c r="L17" s="3" t="s">
        <v>68</v>
      </c>
      <c r="M17" s="3" t="s">
        <v>69</v>
      </c>
      <c r="N17" s="4" t="s">
        <v>70</v>
      </c>
    </row>
    <row r="18" spans="1:14" ht="15.75" thickBot="1" x14ac:dyDescent="0.3">
      <c r="A18" t="s">
        <v>41</v>
      </c>
      <c r="B18">
        <v>1302405</v>
      </c>
      <c r="C18" t="s">
        <v>42</v>
      </c>
      <c r="D18">
        <v>42439</v>
      </c>
      <c r="E18" t="s">
        <v>48</v>
      </c>
      <c r="F18" t="s">
        <v>44</v>
      </c>
      <c r="G18" t="s">
        <v>45</v>
      </c>
      <c r="H18">
        <v>204195.5</v>
      </c>
      <c r="J18" s="3">
        <v>2015</v>
      </c>
      <c r="K18" s="5">
        <v>3615650</v>
      </c>
      <c r="L18" s="5">
        <v>116312000</v>
      </c>
      <c r="M18" s="5">
        <v>119927650</v>
      </c>
      <c r="N18" s="9">
        <v>3.0099999999999998E-2</v>
      </c>
    </row>
    <row r="19" spans="1:14" ht="15.75" thickBot="1" x14ac:dyDescent="0.3">
      <c r="A19" t="s">
        <v>50</v>
      </c>
      <c r="B19">
        <v>1301407</v>
      </c>
      <c r="C19" t="s">
        <v>42</v>
      </c>
      <c r="D19">
        <v>33580</v>
      </c>
      <c r="E19" t="s">
        <v>43</v>
      </c>
      <c r="F19" t="s">
        <v>44</v>
      </c>
      <c r="G19" t="s">
        <v>45</v>
      </c>
      <c r="H19">
        <v>10063719.82</v>
      </c>
      <c r="J19" s="3">
        <v>2016</v>
      </c>
      <c r="K19" s="5">
        <v>3947800</v>
      </c>
      <c r="L19" s="5">
        <v>115580000</v>
      </c>
      <c r="M19" s="5">
        <v>119527800</v>
      </c>
      <c r="N19" s="9">
        <v>3.3000000000000002E-2</v>
      </c>
    </row>
    <row r="20" spans="1:14" ht="15.75" thickBot="1" x14ac:dyDescent="0.3">
      <c r="A20" t="s">
        <v>50</v>
      </c>
      <c r="B20">
        <v>1301407</v>
      </c>
      <c r="C20" t="s">
        <v>42</v>
      </c>
      <c r="D20">
        <v>33580</v>
      </c>
      <c r="E20" t="s">
        <v>46</v>
      </c>
      <c r="F20" t="s">
        <v>44</v>
      </c>
      <c r="G20" t="s">
        <v>45</v>
      </c>
      <c r="H20">
        <v>10063719.82</v>
      </c>
      <c r="J20" s="3">
        <v>2017</v>
      </c>
      <c r="K20" s="5">
        <v>4726500</v>
      </c>
      <c r="L20" s="5">
        <v>128600000</v>
      </c>
      <c r="M20" s="5">
        <v>133326500</v>
      </c>
      <c r="N20" s="9">
        <v>3.5400000000000001E-2</v>
      </c>
    </row>
    <row r="21" spans="1:14" ht="15.75" thickBot="1" x14ac:dyDescent="0.3">
      <c r="A21" t="s">
        <v>50</v>
      </c>
      <c r="B21">
        <v>1301407</v>
      </c>
      <c r="C21" t="s">
        <v>42</v>
      </c>
      <c r="D21">
        <v>33580</v>
      </c>
      <c r="E21" t="s">
        <v>47</v>
      </c>
      <c r="F21" t="s">
        <v>44</v>
      </c>
      <c r="G21" t="s">
        <v>45</v>
      </c>
      <c r="H21">
        <v>9512466.8300000001</v>
      </c>
      <c r="J21" s="3">
        <v>2018</v>
      </c>
      <c r="K21" s="5">
        <v>4310200</v>
      </c>
      <c r="L21" s="5">
        <v>124890000</v>
      </c>
      <c r="M21" s="5">
        <v>129200200</v>
      </c>
      <c r="N21" s="9">
        <v>3.3300000000000003E-2</v>
      </c>
    </row>
    <row r="22" spans="1:14" ht="15.75" thickBot="1" x14ac:dyDescent="0.3">
      <c r="A22" t="s">
        <v>50</v>
      </c>
      <c r="B22">
        <v>1301407</v>
      </c>
      <c r="C22" t="s">
        <v>42</v>
      </c>
      <c r="D22">
        <v>33580</v>
      </c>
      <c r="E22" t="s">
        <v>49</v>
      </c>
      <c r="F22" t="s">
        <v>44</v>
      </c>
      <c r="G22" t="s">
        <v>45</v>
      </c>
      <c r="H22">
        <v>551252.99</v>
      </c>
      <c r="J22" s="3">
        <v>2019</v>
      </c>
      <c r="K22" s="5">
        <v>4150000</v>
      </c>
      <c r="L22" s="5">
        <v>126300000</v>
      </c>
      <c r="M22" s="5">
        <v>130450000</v>
      </c>
      <c r="N22" s="9">
        <v>3.1800000000000002E-2</v>
      </c>
    </row>
    <row r="23" spans="1:14" ht="15.75" thickBot="1" x14ac:dyDescent="0.3">
      <c r="J23" s="3">
        <v>2020</v>
      </c>
      <c r="K23" s="5">
        <v>4280000</v>
      </c>
      <c r="L23" s="5">
        <v>145200000</v>
      </c>
      <c r="M23" s="5">
        <v>149480000</v>
      </c>
      <c r="N23" s="9">
        <v>2.86E-2</v>
      </c>
    </row>
    <row r="24" spans="1:14" ht="15.75" thickBot="1" x14ac:dyDescent="0.3">
      <c r="A24" t="s">
        <v>32</v>
      </c>
      <c r="J24" s="3">
        <v>2021</v>
      </c>
      <c r="K24" s="5">
        <v>4560000</v>
      </c>
      <c r="L24" s="5">
        <v>152100000</v>
      </c>
      <c r="M24" s="5">
        <v>156660000</v>
      </c>
      <c r="N24" s="9">
        <v>2.9100000000000001E-2</v>
      </c>
    </row>
    <row r="25" spans="1:14" ht="15.75" thickBot="1" x14ac:dyDescent="0.3">
      <c r="A25" t="s">
        <v>33</v>
      </c>
      <c r="B25" t="s">
        <v>34</v>
      </c>
      <c r="C25" t="s">
        <v>35</v>
      </c>
      <c r="D25" t="s">
        <v>36</v>
      </c>
      <c r="E25" t="s">
        <v>37</v>
      </c>
      <c r="F25" t="s">
        <v>38</v>
      </c>
      <c r="G25" t="s">
        <v>39</v>
      </c>
      <c r="H25" t="s">
        <v>40</v>
      </c>
      <c r="J25" s="3">
        <v>2022</v>
      </c>
      <c r="K25" s="5">
        <v>4890000</v>
      </c>
      <c r="L25" s="5">
        <v>168400000</v>
      </c>
      <c r="M25" s="5">
        <v>173290000</v>
      </c>
      <c r="N25" s="9">
        <v>2.8199999999999999E-2</v>
      </c>
    </row>
    <row r="26" spans="1:14" ht="15.75" thickBot="1" x14ac:dyDescent="0.3">
      <c r="A26" t="s">
        <v>41</v>
      </c>
      <c r="B26">
        <v>1302405</v>
      </c>
      <c r="C26" t="s">
        <v>42</v>
      </c>
      <c r="D26">
        <v>43263</v>
      </c>
      <c r="E26" t="s">
        <v>43</v>
      </c>
      <c r="F26" t="s">
        <v>44</v>
      </c>
      <c r="G26" t="s">
        <v>45</v>
      </c>
      <c r="H26">
        <v>10472486.58</v>
      </c>
      <c r="J26" s="3">
        <v>2023</v>
      </c>
      <c r="K26" s="5">
        <v>5120000</v>
      </c>
      <c r="L26" s="5">
        <v>182300000</v>
      </c>
      <c r="M26" s="5">
        <v>187420000</v>
      </c>
      <c r="N26" s="9">
        <v>2.7300000000000001E-2</v>
      </c>
    </row>
    <row r="27" spans="1:14" ht="15.75" thickBot="1" x14ac:dyDescent="0.3">
      <c r="A27" t="s">
        <v>41</v>
      </c>
      <c r="B27">
        <v>1302405</v>
      </c>
      <c r="C27" t="s">
        <v>42</v>
      </c>
      <c r="D27">
        <v>43263</v>
      </c>
      <c r="E27" t="s">
        <v>46</v>
      </c>
      <c r="F27" t="s">
        <v>44</v>
      </c>
      <c r="G27" t="s">
        <v>45</v>
      </c>
      <c r="H27">
        <v>9861154.4499999993</v>
      </c>
      <c r="J27" s="3">
        <v>2024</v>
      </c>
      <c r="K27" s="12">
        <v>5250000</v>
      </c>
      <c r="L27" s="12">
        <v>180710000</v>
      </c>
      <c r="M27" s="12">
        <v>185960000</v>
      </c>
      <c r="N27" s="9">
        <v>2.8199999999999999E-2</v>
      </c>
    </row>
    <row r="28" spans="1:14" x14ac:dyDescent="0.25">
      <c r="A28" t="s">
        <v>41</v>
      </c>
      <c r="B28">
        <v>1302405</v>
      </c>
      <c r="C28" t="s">
        <v>42</v>
      </c>
      <c r="D28">
        <v>43263</v>
      </c>
      <c r="E28" t="s">
        <v>47</v>
      </c>
      <c r="F28" t="s">
        <v>44</v>
      </c>
      <c r="G28" t="s">
        <v>45</v>
      </c>
      <c r="H28">
        <v>9641648.6500000004</v>
      </c>
    </row>
    <row r="29" spans="1:14" x14ac:dyDescent="0.25">
      <c r="A29" t="s">
        <v>41</v>
      </c>
      <c r="B29">
        <v>1302405</v>
      </c>
      <c r="C29" t="s">
        <v>42</v>
      </c>
      <c r="D29">
        <v>43263</v>
      </c>
      <c r="E29" t="s">
        <v>48</v>
      </c>
      <c r="F29" t="s">
        <v>44</v>
      </c>
      <c r="G29" t="s">
        <v>45</v>
      </c>
      <c r="H29">
        <v>611332.13</v>
      </c>
    </row>
    <row r="30" spans="1:14" x14ac:dyDescent="0.25">
      <c r="A30" t="s">
        <v>41</v>
      </c>
      <c r="B30">
        <v>1302405</v>
      </c>
      <c r="C30" t="s">
        <v>42</v>
      </c>
      <c r="D30">
        <v>43263</v>
      </c>
      <c r="E30" t="s">
        <v>49</v>
      </c>
      <c r="F30" t="s">
        <v>44</v>
      </c>
      <c r="G30" t="s">
        <v>45</v>
      </c>
      <c r="H30">
        <v>219505.8</v>
      </c>
    </row>
    <row r="31" spans="1:14" x14ac:dyDescent="0.25">
      <c r="A31" t="s">
        <v>50</v>
      </c>
      <c r="B31">
        <v>1301407</v>
      </c>
      <c r="C31" t="s">
        <v>42</v>
      </c>
      <c r="D31">
        <v>34025</v>
      </c>
      <c r="E31" t="s">
        <v>43</v>
      </c>
      <c r="F31" t="s">
        <v>44</v>
      </c>
      <c r="G31" t="s">
        <v>45</v>
      </c>
      <c r="H31">
        <v>8308465.9900000002</v>
      </c>
    </row>
    <row r="32" spans="1:14" x14ac:dyDescent="0.25">
      <c r="A32" t="s">
        <v>50</v>
      </c>
      <c r="B32">
        <v>1301407</v>
      </c>
      <c r="C32" t="s">
        <v>42</v>
      </c>
      <c r="D32">
        <v>34025</v>
      </c>
      <c r="E32" t="s">
        <v>46</v>
      </c>
      <c r="F32" t="s">
        <v>44</v>
      </c>
      <c r="G32" t="s">
        <v>45</v>
      </c>
      <c r="H32">
        <v>8308465.9900000002</v>
      </c>
    </row>
    <row r="33" spans="1:8" x14ac:dyDescent="0.25">
      <c r="A33" t="s">
        <v>50</v>
      </c>
      <c r="B33">
        <v>1301407</v>
      </c>
      <c r="C33" t="s">
        <v>42</v>
      </c>
      <c r="D33">
        <v>34025</v>
      </c>
      <c r="E33" t="s">
        <v>47</v>
      </c>
      <c r="F33" t="s">
        <v>44</v>
      </c>
      <c r="G33" t="s">
        <v>45</v>
      </c>
      <c r="H33">
        <v>8297168.2699999996</v>
      </c>
    </row>
    <row r="34" spans="1:8" x14ac:dyDescent="0.25">
      <c r="A34" t="s">
        <v>50</v>
      </c>
      <c r="B34">
        <v>1301407</v>
      </c>
      <c r="C34" t="s">
        <v>42</v>
      </c>
      <c r="D34">
        <v>34025</v>
      </c>
      <c r="E34" t="s">
        <v>49</v>
      </c>
      <c r="F34" t="s">
        <v>44</v>
      </c>
      <c r="G34" t="s">
        <v>45</v>
      </c>
      <c r="H34">
        <v>11297.72</v>
      </c>
    </row>
    <row r="36" spans="1:8" x14ac:dyDescent="0.25">
      <c r="A36" t="s">
        <v>52</v>
      </c>
    </row>
    <row r="37" spans="1:8" x14ac:dyDescent="0.25">
      <c r="A37" t="s">
        <v>33</v>
      </c>
      <c r="B37" t="s">
        <v>34</v>
      </c>
      <c r="C37" t="s">
        <v>35</v>
      </c>
      <c r="D37" t="s">
        <v>36</v>
      </c>
      <c r="E37" t="s">
        <v>37</v>
      </c>
      <c r="F37" t="s">
        <v>38</v>
      </c>
      <c r="G37" t="s">
        <v>39</v>
      </c>
      <c r="H37" t="s">
        <v>40</v>
      </c>
    </row>
    <row r="38" spans="1:8" x14ac:dyDescent="0.25">
      <c r="A38" t="s">
        <v>41</v>
      </c>
      <c r="B38">
        <v>1302405</v>
      </c>
      <c r="C38" t="s">
        <v>42</v>
      </c>
      <c r="D38">
        <v>44071</v>
      </c>
      <c r="E38" t="s">
        <v>43</v>
      </c>
      <c r="F38" t="s">
        <v>44</v>
      </c>
      <c r="G38" t="s">
        <v>45</v>
      </c>
      <c r="H38">
        <v>13765921.65</v>
      </c>
    </row>
    <row r="39" spans="1:8" x14ac:dyDescent="0.25">
      <c r="A39" t="s">
        <v>41</v>
      </c>
      <c r="B39">
        <v>1302405</v>
      </c>
      <c r="C39" t="s">
        <v>42</v>
      </c>
      <c r="D39">
        <v>44071</v>
      </c>
      <c r="E39" t="s">
        <v>46</v>
      </c>
      <c r="F39" t="s">
        <v>44</v>
      </c>
      <c r="G39" t="s">
        <v>45</v>
      </c>
      <c r="H39">
        <v>13765921.65</v>
      </c>
    </row>
    <row r="40" spans="1:8" x14ac:dyDescent="0.25">
      <c r="A40" t="s">
        <v>41</v>
      </c>
      <c r="B40">
        <v>1302405</v>
      </c>
      <c r="C40" t="s">
        <v>42</v>
      </c>
      <c r="D40">
        <v>44071</v>
      </c>
      <c r="E40" t="s">
        <v>47</v>
      </c>
      <c r="F40" t="s">
        <v>44</v>
      </c>
      <c r="G40" t="s">
        <v>45</v>
      </c>
      <c r="H40">
        <v>13762124.76</v>
      </c>
    </row>
    <row r="41" spans="1:8" x14ac:dyDescent="0.25">
      <c r="A41" t="s">
        <v>41</v>
      </c>
      <c r="B41">
        <v>1302405</v>
      </c>
      <c r="C41" t="s">
        <v>42</v>
      </c>
      <c r="D41">
        <v>44071</v>
      </c>
      <c r="E41" t="s">
        <v>53</v>
      </c>
      <c r="F41" t="s">
        <v>44</v>
      </c>
      <c r="G41" t="s">
        <v>45</v>
      </c>
      <c r="H41">
        <v>3796.89</v>
      </c>
    </row>
    <row r="42" spans="1:8" x14ac:dyDescent="0.25">
      <c r="A42" t="s">
        <v>50</v>
      </c>
      <c r="B42">
        <v>1301407</v>
      </c>
      <c r="C42" t="s">
        <v>42</v>
      </c>
      <c r="D42">
        <v>34461</v>
      </c>
      <c r="E42" t="s">
        <v>43</v>
      </c>
      <c r="F42" t="s">
        <v>44</v>
      </c>
      <c r="G42" t="s">
        <v>45</v>
      </c>
      <c r="H42">
        <v>10573363.82</v>
      </c>
    </row>
    <row r="43" spans="1:8" x14ac:dyDescent="0.25">
      <c r="A43" t="s">
        <v>50</v>
      </c>
      <c r="B43">
        <v>1301407</v>
      </c>
      <c r="C43" t="s">
        <v>42</v>
      </c>
      <c r="D43">
        <v>34461</v>
      </c>
      <c r="E43" t="s">
        <v>46</v>
      </c>
      <c r="F43" t="s">
        <v>44</v>
      </c>
      <c r="G43" t="s">
        <v>45</v>
      </c>
      <c r="H43">
        <v>10573363.42</v>
      </c>
    </row>
    <row r="44" spans="1:8" x14ac:dyDescent="0.25">
      <c r="A44" t="s">
        <v>50</v>
      </c>
      <c r="B44">
        <v>1301407</v>
      </c>
      <c r="C44" t="s">
        <v>42</v>
      </c>
      <c r="D44">
        <v>34461</v>
      </c>
      <c r="E44" t="s">
        <v>47</v>
      </c>
      <c r="F44" t="s">
        <v>44</v>
      </c>
      <c r="G44" t="s">
        <v>45</v>
      </c>
      <c r="H44">
        <v>10572443.42</v>
      </c>
    </row>
    <row r="45" spans="1:8" x14ac:dyDescent="0.25">
      <c r="A45" t="s">
        <v>50</v>
      </c>
      <c r="B45">
        <v>1301407</v>
      </c>
      <c r="C45" t="s">
        <v>42</v>
      </c>
      <c r="D45">
        <v>34461</v>
      </c>
      <c r="E45" t="s">
        <v>54</v>
      </c>
      <c r="F45" t="s">
        <v>44</v>
      </c>
      <c r="G45" t="s">
        <v>45</v>
      </c>
      <c r="H45">
        <v>0.4</v>
      </c>
    </row>
    <row r="46" spans="1:8" x14ac:dyDescent="0.25">
      <c r="A46" t="s">
        <v>50</v>
      </c>
      <c r="B46">
        <v>1301407</v>
      </c>
      <c r="C46" t="s">
        <v>42</v>
      </c>
      <c r="D46">
        <v>34461</v>
      </c>
      <c r="E46" t="s">
        <v>53</v>
      </c>
      <c r="F46" t="s">
        <v>44</v>
      </c>
      <c r="G46" t="s">
        <v>45</v>
      </c>
      <c r="H46">
        <v>920</v>
      </c>
    </row>
    <row r="48" spans="1:8" x14ac:dyDescent="0.25">
      <c r="A48" t="s">
        <v>55</v>
      </c>
    </row>
    <row r="49" spans="1:8" x14ac:dyDescent="0.25">
      <c r="A49" t="s">
        <v>33</v>
      </c>
      <c r="B49" t="s">
        <v>34</v>
      </c>
      <c r="C49" t="s">
        <v>35</v>
      </c>
      <c r="D49" t="s">
        <v>36</v>
      </c>
      <c r="E49" t="s">
        <v>37</v>
      </c>
      <c r="F49" t="s">
        <v>38</v>
      </c>
      <c r="G49" t="s">
        <v>39</v>
      </c>
      <c r="H49" t="s">
        <v>40</v>
      </c>
    </row>
    <row r="50" spans="1:8" x14ac:dyDescent="0.25">
      <c r="A50" t="s">
        <v>50</v>
      </c>
      <c r="B50">
        <v>1301407</v>
      </c>
      <c r="C50" t="s">
        <v>42</v>
      </c>
      <c r="D50">
        <v>34461</v>
      </c>
      <c r="E50" t="s">
        <v>43</v>
      </c>
      <c r="F50" t="s">
        <v>44</v>
      </c>
      <c r="G50" t="s">
        <v>45</v>
      </c>
      <c r="H50">
        <v>17879556.170000002</v>
      </c>
    </row>
    <row r="51" spans="1:8" x14ac:dyDescent="0.25">
      <c r="A51" t="s">
        <v>50</v>
      </c>
      <c r="B51">
        <v>1301407</v>
      </c>
      <c r="C51" t="s">
        <v>42</v>
      </c>
      <c r="D51">
        <v>34461</v>
      </c>
      <c r="E51" t="s">
        <v>46</v>
      </c>
      <c r="F51" t="s">
        <v>44</v>
      </c>
      <c r="G51" t="s">
        <v>45</v>
      </c>
      <c r="H51">
        <v>17422304.010000002</v>
      </c>
    </row>
    <row r="52" spans="1:8" x14ac:dyDescent="0.25">
      <c r="A52" t="s">
        <v>50</v>
      </c>
      <c r="B52">
        <v>1301407</v>
      </c>
      <c r="C52" t="s">
        <v>42</v>
      </c>
      <c r="D52">
        <v>34461</v>
      </c>
      <c r="E52" t="s">
        <v>47</v>
      </c>
      <c r="F52" t="s">
        <v>44</v>
      </c>
      <c r="G52" t="s">
        <v>45</v>
      </c>
      <c r="H52">
        <v>16678863.380000001</v>
      </c>
    </row>
    <row r="53" spans="1:8" x14ac:dyDescent="0.25">
      <c r="A53" t="s">
        <v>50</v>
      </c>
      <c r="B53">
        <v>1301407</v>
      </c>
      <c r="C53" t="s">
        <v>42</v>
      </c>
      <c r="D53">
        <v>34461</v>
      </c>
      <c r="E53" t="s">
        <v>54</v>
      </c>
      <c r="F53" t="s">
        <v>44</v>
      </c>
      <c r="G53" t="s">
        <v>45</v>
      </c>
      <c r="H53">
        <v>457252.16</v>
      </c>
    </row>
    <row r="54" spans="1:8" x14ac:dyDescent="0.25">
      <c r="A54" t="s">
        <v>50</v>
      </c>
      <c r="B54">
        <v>1301407</v>
      </c>
      <c r="C54" t="s">
        <v>42</v>
      </c>
      <c r="D54">
        <v>34461</v>
      </c>
      <c r="E54" t="s">
        <v>53</v>
      </c>
      <c r="F54" t="s">
        <v>44</v>
      </c>
      <c r="G54" t="s">
        <v>45</v>
      </c>
      <c r="H54">
        <v>743440.63</v>
      </c>
    </row>
    <row r="55" spans="1:8" x14ac:dyDescent="0.25">
      <c r="A55" t="s">
        <v>41</v>
      </c>
      <c r="B55">
        <v>1302405</v>
      </c>
      <c r="C55" t="s">
        <v>42</v>
      </c>
      <c r="D55">
        <v>44071</v>
      </c>
      <c r="E55" t="s">
        <v>43</v>
      </c>
      <c r="F55" t="s">
        <v>44</v>
      </c>
      <c r="G55" t="s">
        <v>45</v>
      </c>
      <c r="H55">
        <v>20289558.440000001</v>
      </c>
    </row>
    <row r="56" spans="1:8" x14ac:dyDescent="0.25">
      <c r="A56" t="s">
        <v>41</v>
      </c>
      <c r="B56">
        <v>1302405</v>
      </c>
      <c r="C56" t="s">
        <v>42</v>
      </c>
      <c r="D56">
        <v>44071</v>
      </c>
      <c r="E56" t="s">
        <v>46</v>
      </c>
      <c r="F56" t="s">
        <v>44</v>
      </c>
      <c r="G56" t="s">
        <v>45</v>
      </c>
      <c r="H56">
        <v>20289558.440000001</v>
      </c>
    </row>
    <row r="57" spans="1:8" x14ac:dyDescent="0.25">
      <c r="A57" t="s">
        <v>41</v>
      </c>
      <c r="B57">
        <v>1302405</v>
      </c>
      <c r="C57" t="s">
        <v>42</v>
      </c>
      <c r="D57">
        <v>44071</v>
      </c>
      <c r="E57" t="s">
        <v>47</v>
      </c>
      <c r="F57" t="s">
        <v>44</v>
      </c>
      <c r="G57" t="s">
        <v>45</v>
      </c>
      <c r="H57">
        <v>20253148.440000001</v>
      </c>
    </row>
    <row r="58" spans="1:8" x14ac:dyDescent="0.25">
      <c r="A58" t="s">
        <v>41</v>
      </c>
      <c r="B58">
        <v>1302405</v>
      </c>
      <c r="C58" t="s">
        <v>42</v>
      </c>
      <c r="D58">
        <v>44071</v>
      </c>
      <c r="E58" t="s">
        <v>53</v>
      </c>
      <c r="F58" t="s">
        <v>44</v>
      </c>
      <c r="G58" t="s">
        <v>45</v>
      </c>
      <c r="H58">
        <v>36410</v>
      </c>
    </row>
    <row r="60" spans="1:8" x14ac:dyDescent="0.25">
      <c r="A60" t="s">
        <v>56</v>
      </c>
    </row>
    <row r="61" spans="1:8" x14ac:dyDescent="0.25">
      <c r="A61" t="s">
        <v>33</v>
      </c>
      <c r="B61" t="s">
        <v>34</v>
      </c>
      <c r="C61" t="s">
        <v>35</v>
      </c>
      <c r="D61" t="s">
        <v>36</v>
      </c>
      <c r="E61" t="s">
        <v>37</v>
      </c>
      <c r="F61" t="s">
        <v>38</v>
      </c>
      <c r="G61" t="s">
        <v>39</v>
      </c>
      <c r="H61" t="s">
        <v>40</v>
      </c>
    </row>
    <row r="62" spans="1:8" x14ac:dyDescent="0.25">
      <c r="A62" t="s">
        <v>50</v>
      </c>
      <c r="B62">
        <v>1301407</v>
      </c>
      <c r="C62" t="s">
        <v>42</v>
      </c>
      <c r="D62">
        <v>34840</v>
      </c>
      <c r="E62" t="s">
        <v>43</v>
      </c>
      <c r="F62" t="s">
        <v>44</v>
      </c>
      <c r="G62" t="s">
        <v>45</v>
      </c>
      <c r="H62">
        <v>20547624.280000001</v>
      </c>
    </row>
    <row r="63" spans="1:8" x14ac:dyDescent="0.25">
      <c r="A63" t="s">
        <v>50</v>
      </c>
      <c r="B63">
        <v>1301407</v>
      </c>
      <c r="C63" t="s">
        <v>42</v>
      </c>
      <c r="D63">
        <v>34840</v>
      </c>
      <c r="E63" t="s">
        <v>46</v>
      </c>
      <c r="F63" t="s">
        <v>44</v>
      </c>
      <c r="G63" t="s">
        <v>45</v>
      </c>
      <c r="H63">
        <v>20544224.280000001</v>
      </c>
    </row>
    <row r="64" spans="1:8" x14ac:dyDescent="0.25">
      <c r="A64" t="s">
        <v>50</v>
      </c>
      <c r="B64">
        <v>1301407</v>
      </c>
      <c r="C64" t="s">
        <v>42</v>
      </c>
      <c r="D64">
        <v>34840</v>
      </c>
      <c r="E64" t="s">
        <v>47</v>
      </c>
      <c r="F64" t="s">
        <v>44</v>
      </c>
      <c r="G64" t="s">
        <v>45</v>
      </c>
      <c r="H64">
        <v>20179360.140000001</v>
      </c>
    </row>
    <row r="65" spans="1:8" x14ac:dyDescent="0.25">
      <c r="A65" t="s">
        <v>50</v>
      </c>
      <c r="B65">
        <v>1301407</v>
      </c>
      <c r="C65" t="s">
        <v>42</v>
      </c>
      <c r="D65">
        <v>34840</v>
      </c>
      <c r="E65" t="s">
        <v>54</v>
      </c>
      <c r="F65" t="s">
        <v>44</v>
      </c>
      <c r="G65" t="s">
        <v>45</v>
      </c>
      <c r="H65">
        <v>3400</v>
      </c>
    </row>
    <row r="66" spans="1:8" x14ac:dyDescent="0.25">
      <c r="A66" t="s">
        <v>50</v>
      </c>
      <c r="B66">
        <v>1301407</v>
      </c>
      <c r="C66" t="s">
        <v>42</v>
      </c>
      <c r="D66">
        <v>34840</v>
      </c>
      <c r="E66" t="s">
        <v>53</v>
      </c>
      <c r="F66" t="s">
        <v>44</v>
      </c>
      <c r="G66" t="s">
        <v>45</v>
      </c>
      <c r="H66">
        <v>364864.14</v>
      </c>
    </row>
    <row r="67" spans="1:8" x14ac:dyDescent="0.25">
      <c r="A67" t="s">
        <v>41</v>
      </c>
      <c r="B67">
        <v>0</v>
      </c>
      <c r="C67" t="s">
        <v>42</v>
      </c>
      <c r="D67">
        <v>0</v>
      </c>
      <c r="E67" t="s">
        <v>43</v>
      </c>
      <c r="F67" t="s">
        <v>44</v>
      </c>
      <c r="G67" t="s">
        <v>45</v>
      </c>
      <c r="H67">
        <v>0</v>
      </c>
    </row>
    <row r="68" spans="1:8" x14ac:dyDescent="0.25">
      <c r="A68" t="s">
        <v>41</v>
      </c>
      <c r="B68">
        <v>0</v>
      </c>
      <c r="C68" t="s">
        <v>42</v>
      </c>
      <c r="D68">
        <v>0</v>
      </c>
      <c r="E68" t="s">
        <v>46</v>
      </c>
      <c r="F68" t="s">
        <v>44</v>
      </c>
      <c r="G68" t="s">
        <v>45</v>
      </c>
      <c r="H68">
        <v>0</v>
      </c>
    </row>
    <row r="69" spans="1:8" x14ac:dyDescent="0.25">
      <c r="A69" t="s">
        <v>41</v>
      </c>
      <c r="B69">
        <v>0</v>
      </c>
      <c r="C69" t="s">
        <v>42</v>
      </c>
      <c r="D69">
        <v>0</v>
      </c>
      <c r="E69" t="s">
        <v>47</v>
      </c>
      <c r="F69" t="s">
        <v>44</v>
      </c>
      <c r="G69" t="s">
        <v>45</v>
      </c>
      <c r="H69">
        <v>0</v>
      </c>
    </row>
    <row r="70" spans="1:8" x14ac:dyDescent="0.25">
      <c r="A70" t="s">
        <v>41</v>
      </c>
      <c r="B70">
        <v>0</v>
      </c>
      <c r="C70" t="s">
        <v>42</v>
      </c>
      <c r="D70">
        <v>0</v>
      </c>
      <c r="E70" t="s">
        <v>53</v>
      </c>
      <c r="F70" t="s">
        <v>44</v>
      </c>
      <c r="G70" t="s">
        <v>45</v>
      </c>
      <c r="H70">
        <v>0</v>
      </c>
    </row>
    <row r="72" spans="1:8" x14ac:dyDescent="0.25">
      <c r="A72" t="s">
        <v>57</v>
      </c>
    </row>
    <row r="73" spans="1:8" x14ac:dyDescent="0.25">
      <c r="A73" t="s">
        <v>33</v>
      </c>
      <c r="B73" t="s">
        <v>34</v>
      </c>
      <c r="C73" t="s">
        <v>35</v>
      </c>
      <c r="D73" t="s">
        <v>36</v>
      </c>
      <c r="E73" t="s">
        <v>37</v>
      </c>
      <c r="F73" t="s">
        <v>38</v>
      </c>
      <c r="G73" t="s">
        <v>39</v>
      </c>
      <c r="H73" t="s">
        <v>40</v>
      </c>
    </row>
    <row r="74" spans="1:8" x14ac:dyDescent="0.25">
      <c r="A74" t="s">
        <v>50</v>
      </c>
      <c r="B74">
        <v>1301407</v>
      </c>
      <c r="C74" t="s">
        <v>42</v>
      </c>
      <c r="D74">
        <v>35273</v>
      </c>
      <c r="E74" t="s">
        <v>43</v>
      </c>
      <c r="F74" t="s">
        <v>44</v>
      </c>
      <c r="G74" t="s">
        <v>45</v>
      </c>
      <c r="H74">
        <v>30987048.379999999</v>
      </c>
    </row>
    <row r="75" spans="1:8" x14ac:dyDescent="0.25">
      <c r="A75" t="s">
        <v>50</v>
      </c>
      <c r="B75">
        <v>1301407</v>
      </c>
      <c r="C75" t="s">
        <v>42</v>
      </c>
      <c r="D75">
        <v>35273</v>
      </c>
      <c r="E75" t="s">
        <v>46</v>
      </c>
      <c r="F75" t="s">
        <v>44</v>
      </c>
      <c r="G75" t="s">
        <v>45</v>
      </c>
      <c r="H75">
        <v>30812792.170000002</v>
      </c>
    </row>
    <row r="76" spans="1:8" x14ac:dyDescent="0.25">
      <c r="A76" t="s">
        <v>50</v>
      </c>
      <c r="B76">
        <v>1301407</v>
      </c>
      <c r="C76" t="s">
        <v>42</v>
      </c>
      <c r="D76">
        <v>35273</v>
      </c>
      <c r="E76" t="s">
        <v>47</v>
      </c>
      <c r="F76" t="s">
        <v>44</v>
      </c>
      <c r="G76" t="s">
        <v>45</v>
      </c>
      <c r="H76">
        <v>30126249.600000001</v>
      </c>
    </row>
    <row r="77" spans="1:8" x14ac:dyDescent="0.25">
      <c r="A77" t="s">
        <v>50</v>
      </c>
      <c r="B77">
        <v>1301407</v>
      </c>
      <c r="C77" t="s">
        <v>42</v>
      </c>
      <c r="D77">
        <v>35273</v>
      </c>
      <c r="E77" t="s">
        <v>54</v>
      </c>
      <c r="F77" t="s">
        <v>44</v>
      </c>
      <c r="G77" t="s">
        <v>45</v>
      </c>
      <c r="H77">
        <v>174256.21</v>
      </c>
    </row>
    <row r="78" spans="1:8" x14ac:dyDescent="0.25">
      <c r="A78" t="s">
        <v>50</v>
      </c>
      <c r="B78">
        <v>1301407</v>
      </c>
      <c r="C78" t="s">
        <v>42</v>
      </c>
      <c r="D78">
        <v>35273</v>
      </c>
      <c r="E78" t="s">
        <v>53</v>
      </c>
      <c r="F78" t="s">
        <v>44</v>
      </c>
      <c r="G78" t="s">
        <v>45</v>
      </c>
      <c r="H78">
        <v>686542.57</v>
      </c>
    </row>
    <row r="79" spans="1:8" x14ac:dyDescent="0.25">
      <c r="A79" t="s">
        <v>41</v>
      </c>
      <c r="B79">
        <v>1302405</v>
      </c>
      <c r="C79" t="s">
        <v>42</v>
      </c>
      <c r="D79">
        <v>46069</v>
      </c>
      <c r="E79" t="s">
        <v>43</v>
      </c>
      <c r="F79" t="s">
        <v>44</v>
      </c>
      <c r="G79" t="s">
        <v>45</v>
      </c>
      <c r="H79">
        <v>34226270.810000002</v>
      </c>
    </row>
    <row r="80" spans="1:8" x14ac:dyDescent="0.25">
      <c r="A80" t="s">
        <v>41</v>
      </c>
      <c r="B80">
        <v>1302405</v>
      </c>
      <c r="C80" t="s">
        <v>42</v>
      </c>
      <c r="D80">
        <v>46069</v>
      </c>
      <c r="E80" t="s">
        <v>46</v>
      </c>
      <c r="F80" t="s">
        <v>44</v>
      </c>
      <c r="G80" t="s">
        <v>45</v>
      </c>
      <c r="H80">
        <v>34226270.810000002</v>
      </c>
    </row>
    <row r="81" spans="1:8" x14ac:dyDescent="0.25">
      <c r="A81" t="s">
        <v>41</v>
      </c>
      <c r="B81">
        <v>1302405</v>
      </c>
      <c r="C81" t="s">
        <v>42</v>
      </c>
      <c r="D81">
        <v>46069</v>
      </c>
      <c r="E81" t="s">
        <v>47</v>
      </c>
      <c r="F81" t="s">
        <v>44</v>
      </c>
      <c r="G81" t="s">
        <v>45</v>
      </c>
      <c r="H81">
        <v>33904484.079999998</v>
      </c>
    </row>
    <row r="82" spans="1:8" x14ac:dyDescent="0.25">
      <c r="A82" t="s">
        <v>41</v>
      </c>
      <c r="B82">
        <v>1302405</v>
      </c>
      <c r="C82" t="s">
        <v>42</v>
      </c>
      <c r="D82">
        <v>46069</v>
      </c>
      <c r="E82" t="s">
        <v>53</v>
      </c>
      <c r="F82" t="s">
        <v>44</v>
      </c>
      <c r="G82" t="s">
        <v>45</v>
      </c>
      <c r="H82">
        <v>321786.73</v>
      </c>
    </row>
    <row r="84" spans="1:8" x14ac:dyDescent="0.25">
      <c r="A84" t="s">
        <v>58</v>
      </c>
    </row>
    <row r="85" spans="1:8" x14ac:dyDescent="0.25">
      <c r="A85" t="s">
        <v>33</v>
      </c>
      <c r="B85" t="s">
        <v>34</v>
      </c>
      <c r="C85" t="s">
        <v>35</v>
      </c>
      <c r="D85" t="s">
        <v>36</v>
      </c>
      <c r="E85" t="s">
        <v>37</v>
      </c>
      <c r="F85" t="s">
        <v>38</v>
      </c>
      <c r="G85" t="s">
        <v>39</v>
      </c>
      <c r="H85" t="s">
        <v>40</v>
      </c>
    </row>
    <row r="86" spans="1:8" x14ac:dyDescent="0.25">
      <c r="A86" t="s">
        <v>50</v>
      </c>
      <c r="B86">
        <v>1301407</v>
      </c>
      <c r="C86" t="s">
        <v>42</v>
      </c>
      <c r="D86">
        <v>35700</v>
      </c>
      <c r="E86" t="s">
        <v>43</v>
      </c>
      <c r="F86" t="s">
        <v>44</v>
      </c>
      <c r="G86" t="s">
        <v>45</v>
      </c>
      <c r="H86">
        <v>31646359.539999999</v>
      </c>
    </row>
    <row r="87" spans="1:8" x14ac:dyDescent="0.25">
      <c r="A87" t="s">
        <v>50</v>
      </c>
      <c r="B87">
        <v>1301407</v>
      </c>
      <c r="C87" t="s">
        <v>42</v>
      </c>
      <c r="D87">
        <v>35700</v>
      </c>
      <c r="E87" t="s">
        <v>46</v>
      </c>
      <c r="F87" t="s">
        <v>44</v>
      </c>
      <c r="G87" t="s">
        <v>45</v>
      </c>
      <c r="H87">
        <v>31617685.539999999</v>
      </c>
    </row>
    <row r="88" spans="1:8" x14ac:dyDescent="0.25">
      <c r="A88" t="s">
        <v>50</v>
      </c>
      <c r="B88">
        <v>1301407</v>
      </c>
      <c r="C88" t="s">
        <v>42</v>
      </c>
      <c r="D88">
        <v>35700</v>
      </c>
      <c r="E88" t="s">
        <v>47</v>
      </c>
      <c r="F88" t="s">
        <v>44</v>
      </c>
      <c r="G88" t="s">
        <v>45</v>
      </c>
      <c r="H88">
        <v>31231733.780000001</v>
      </c>
    </row>
    <row r="89" spans="1:8" x14ac:dyDescent="0.25">
      <c r="A89" t="s">
        <v>50</v>
      </c>
      <c r="B89">
        <v>1301407</v>
      </c>
      <c r="C89" t="s">
        <v>42</v>
      </c>
      <c r="D89">
        <v>35700</v>
      </c>
      <c r="E89" t="s">
        <v>54</v>
      </c>
      <c r="F89" t="s">
        <v>44</v>
      </c>
      <c r="G89" t="s">
        <v>45</v>
      </c>
      <c r="H89">
        <v>28674</v>
      </c>
    </row>
    <row r="90" spans="1:8" x14ac:dyDescent="0.25">
      <c r="A90" t="s">
        <v>50</v>
      </c>
      <c r="B90">
        <v>1301407</v>
      </c>
      <c r="C90" t="s">
        <v>42</v>
      </c>
      <c r="D90">
        <v>35700</v>
      </c>
      <c r="E90" t="s">
        <v>53</v>
      </c>
      <c r="F90" t="s">
        <v>44</v>
      </c>
      <c r="G90" t="s">
        <v>45</v>
      </c>
      <c r="H90">
        <v>385951.76</v>
      </c>
    </row>
    <row r="91" spans="1:8" x14ac:dyDescent="0.25">
      <c r="A91" t="s">
        <v>41</v>
      </c>
      <c r="B91">
        <v>1302405</v>
      </c>
      <c r="C91" t="s">
        <v>42</v>
      </c>
      <c r="D91">
        <v>46882</v>
      </c>
      <c r="E91" t="s">
        <v>43</v>
      </c>
      <c r="F91" t="s">
        <v>44</v>
      </c>
      <c r="G91" t="s">
        <v>45</v>
      </c>
      <c r="H91">
        <v>38608820.939999998</v>
      </c>
    </row>
    <row r="92" spans="1:8" x14ac:dyDescent="0.25">
      <c r="A92" t="s">
        <v>41</v>
      </c>
      <c r="B92">
        <v>1302405</v>
      </c>
      <c r="C92" t="s">
        <v>42</v>
      </c>
      <c r="D92">
        <v>46882</v>
      </c>
      <c r="E92" t="s">
        <v>46</v>
      </c>
      <c r="F92" t="s">
        <v>44</v>
      </c>
      <c r="G92" t="s">
        <v>45</v>
      </c>
      <c r="H92">
        <v>38608820.939999998</v>
      </c>
    </row>
    <row r="93" spans="1:8" x14ac:dyDescent="0.25">
      <c r="A93" t="s">
        <v>41</v>
      </c>
      <c r="B93">
        <v>1302405</v>
      </c>
      <c r="C93" t="s">
        <v>42</v>
      </c>
      <c r="D93">
        <v>46882</v>
      </c>
      <c r="E93" t="s">
        <v>47</v>
      </c>
      <c r="F93" t="s">
        <v>44</v>
      </c>
      <c r="G93" t="s">
        <v>45</v>
      </c>
      <c r="H93">
        <v>38608820.939999998</v>
      </c>
    </row>
    <row r="95" spans="1:8" x14ac:dyDescent="0.25">
      <c r="A95" t="s">
        <v>59</v>
      </c>
    </row>
    <row r="96" spans="1:8" x14ac:dyDescent="0.25">
      <c r="A96" t="s">
        <v>33</v>
      </c>
      <c r="B96" t="s">
        <v>34</v>
      </c>
      <c r="C96" t="s">
        <v>35</v>
      </c>
      <c r="D96" t="s">
        <v>36</v>
      </c>
      <c r="E96" t="s">
        <v>37</v>
      </c>
      <c r="F96" t="s">
        <v>38</v>
      </c>
      <c r="G96" t="s">
        <v>39</v>
      </c>
      <c r="H96" t="s">
        <v>40</v>
      </c>
    </row>
    <row r="97" spans="1:8" x14ac:dyDescent="0.25">
      <c r="A97" t="s">
        <v>50</v>
      </c>
      <c r="B97">
        <v>1301407</v>
      </c>
      <c r="C97" t="s">
        <v>42</v>
      </c>
      <c r="D97">
        <v>36121</v>
      </c>
      <c r="E97" t="s">
        <v>43</v>
      </c>
      <c r="F97" t="s">
        <v>44</v>
      </c>
      <c r="G97" t="s">
        <v>45</v>
      </c>
      <c r="H97">
        <v>32224123.350000001</v>
      </c>
    </row>
    <row r="98" spans="1:8" x14ac:dyDescent="0.25">
      <c r="A98" t="s">
        <v>50</v>
      </c>
      <c r="B98">
        <v>1301407</v>
      </c>
      <c r="C98" t="s">
        <v>42</v>
      </c>
      <c r="D98">
        <v>36121</v>
      </c>
      <c r="E98" t="s">
        <v>46</v>
      </c>
      <c r="F98" t="s">
        <v>44</v>
      </c>
      <c r="G98" t="s">
        <v>45</v>
      </c>
      <c r="H98">
        <v>32144651.949999999</v>
      </c>
    </row>
    <row r="99" spans="1:8" x14ac:dyDescent="0.25">
      <c r="A99" t="s">
        <v>50</v>
      </c>
      <c r="B99">
        <v>1301407</v>
      </c>
      <c r="C99" t="s">
        <v>42</v>
      </c>
      <c r="D99">
        <v>36121</v>
      </c>
      <c r="E99" t="s">
        <v>47</v>
      </c>
      <c r="F99" t="s">
        <v>44</v>
      </c>
      <c r="G99" t="s">
        <v>45</v>
      </c>
      <c r="H99">
        <v>29829927.739999998</v>
      </c>
    </row>
    <row r="100" spans="1:8" x14ac:dyDescent="0.25">
      <c r="A100" t="s">
        <v>50</v>
      </c>
      <c r="B100">
        <v>1301407</v>
      </c>
      <c r="C100" t="s">
        <v>42</v>
      </c>
      <c r="D100">
        <v>36121</v>
      </c>
      <c r="E100" t="s">
        <v>54</v>
      </c>
      <c r="F100" t="s">
        <v>44</v>
      </c>
      <c r="G100" t="s">
        <v>45</v>
      </c>
      <c r="H100">
        <v>79471.399999999994</v>
      </c>
    </row>
    <row r="101" spans="1:8" x14ac:dyDescent="0.25">
      <c r="A101" t="s">
        <v>50</v>
      </c>
      <c r="B101">
        <v>1301407</v>
      </c>
      <c r="C101" t="s">
        <v>42</v>
      </c>
      <c r="D101">
        <v>36121</v>
      </c>
      <c r="E101" t="s">
        <v>53</v>
      </c>
      <c r="F101" t="s">
        <v>44</v>
      </c>
      <c r="G101" t="s">
        <v>45</v>
      </c>
      <c r="H101">
        <v>2314724.21</v>
      </c>
    </row>
    <row r="102" spans="1:8" x14ac:dyDescent="0.25">
      <c r="A102" t="s">
        <v>41</v>
      </c>
      <c r="B102">
        <v>1302405</v>
      </c>
      <c r="C102" t="s">
        <v>42</v>
      </c>
      <c r="D102">
        <v>47685</v>
      </c>
      <c r="E102" t="s">
        <v>43</v>
      </c>
      <c r="F102" t="s">
        <v>44</v>
      </c>
      <c r="G102" t="s">
        <v>45</v>
      </c>
      <c r="H102">
        <v>41668039.200000003</v>
      </c>
    </row>
    <row r="103" spans="1:8" x14ac:dyDescent="0.25">
      <c r="A103" t="s">
        <v>41</v>
      </c>
      <c r="B103">
        <v>1302405</v>
      </c>
      <c r="C103" t="s">
        <v>42</v>
      </c>
      <c r="D103">
        <v>47685</v>
      </c>
      <c r="E103" t="s">
        <v>46</v>
      </c>
      <c r="F103" t="s">
        <v>44</v>
      </c>
      <c r="G103" t="s">
        <v>45</v>
      </c>
      <c r="H103">
        <v>41668039.200000003</v>
      </c>
    </row>
    <row r="104" spans="1:8" x14ac:dyDescent="0.25">
      <c r="A104" t="s">
        <v>41</v>
      </c>
      <c r="B104">
        <v>1302405</v>
      </c>
      <c r="C104" t="s">
        <v>42</v>
      </c>
      <c r="D104">
        <v>47685</v>
      </c>
      <c r="E104" t="s">
        <v>47</v>
      </c>
      <c r="F104" t="s">
        <v>44</v>
      </c>
      <c r="G104" t="s">
        <v>45</v>
      </c>
      <c r="H104">
        <v>41668039.200000003</v>
      </c>
    </row>
    <row r="106" spans="1:8" x14ac:dyDescent="0.25">
      <c r="A106" t="s">
        <v>60</v>
      </c>
    </row>
    <row r="107" spans="1:8" x14ac:dyDescent="0.25">
      <c r="A107" t="s">
        <v>33</v>
      </c>
      <c r="B107" t="s">
        <v>34</v>
      </c>
      <c r="C107" t="s">
        <v>35</v>
      </c>
      <c r="D107" t="s">
        <v>36</v>
      </c>
      <c r="E107" t="s">
        <v>37</v>
      </c>
      <c r="F107" t="s">
        <v>38</v>
      </c>
      <c r="G107" t="s">
        <v>39</v>
      </c>
      <c r="H107" t="s">
        <v>40</v>
      </c>
    </row>
    <row r="108" spans="1:8" x14ac:dyDescent="0.25">
      <c r="A108" t="s">
        <v>41</v>
      </c>
      <c r="B108">
        <v>1302405</v>
      </c>
      <c r="C108" t="s">
        <v>42</v>
      </c>
      <c r="D108">
        <v>47685</v>
      </c>
      <c r="E108" t="s">
        <v>43</v>
      </c>
      <c r="F108" t="s">
        <v>44</v>
      </c>
      <c r="G108" t="s">
        <v>45</v>
      </c>
      <c r="H108">
        <v>46025882.780000001</v>
      </c>
    </row>
    <row r="109" spans="1:8" x14ac:dyDescent="0.25">
      <c r="A109" t="s">
        <v>41</v>
      </c>
      <c r="B109">
        <v>1302405</v>
      </c>
      <c r="C109" t="s">
        <v>42</v>
      </c>
      <c r="D109">
        <v>47685</v>
      </c>
      <c r="E109" t="s">
        <v>46</v>
      </c>
      <c r="F109" t="s">
        <v>44</v>
      </c>
      <c r="G109" t="s">
        <v>45</v>
      </c>
      <c r="H109">
        <v>46025882.780000001</v>
      </c>
    </row>
    <row r="110" spans="1:8" x14ac:dyDescent="0.25">
      <c r="A110" t="s">
        <v>41</v>
      </c>
      <c r="B110">
        <v>1302405</v>
      </c>
      <c r="C110" t="s">
        <v>42</v>
      </c>
      <c r="D110">
        <v>47685</v>
      </c>
      <c r="E110" t="s">
        <v>47</v>
      </c>
      <c r="F110" t="s">
        <v>44</v>
      </c>
      <c r="G110" t="s">
        <v>45</v>
      </c>
      <c r="H110">
        <v>46025882.780000001</v>
      </c>
    </row>
    <row r="111" spans="1:8" x14ac:dyDescent="0.25">
      <c r="A111" t="s">
        <v>50</v>
      </c>
      <c r="B111">
        <v>1301407</v>
      </c>
      <c r="C111" t="s">
        <v>42</v>
      </c>
      <c r="D111">
        <v>36121</v>
      </c>
      <c r="E111" t="s">
        <v>43</v>
      </c>
      <c r="F111" t="s">
        <v>44</v>
      </c>
      <c r="G111" t="s">
        <v>45</v>
      </c>
      <c r="H111">
        <v>36260870.009999998</v>
      </c>
    </row>
    <row r="112" spans="1:8" x14ac:dyDescent="0.25">
      <c r="A112" t="s">
        <v>50</v>
      </c>
      <c r="B112">
        <v>1301407</v>
      </c>
      <c r="C112" t="s">
        <v>42</v>
      </c>
      <c r="D112">
        <v>36121</v>
      </c>
      <c r="E112" t="s">
        <v>46</v>
      </c>
      <c r="F112" t="s">
        <v>44</v>
      </c>
      <c r="G112" t="s">
        <v>45</v>
      </c>
      <c r="H112">
        <v>35988010.009999998</v>
      </c>
    </row>
    <row r="113" spans="1:8" x14ac:dyDescent="0.25">
      <c r="A113" t="s">
        <v>50</v>
      </c>
      <c r="B113">
        <v>1301407</v>
      </c>
      <c r="C113" t="s">
        <v>42</v>
      </c>
      <c r="D113">
        <v>36121</v>
      </c>
      <c r="E113" t="s">
        <v>47</v>
      </c>
      <c r="F113" t="s">
        <v>44</v>
      </c>
      <c r="G113" t="s">
        <v>45</v>
      </c>
      <c r="H113">
        <v>31885242.93</v>
      </c>
    </row>
    <row r="114" spans="1:8" x14ac:dyDescent="0.25">
      <c r="A114" t="s">
        <v>50</v>
      </c>
      <c r="B114">
        <v>1301407</v>
      </c>
      <c r="C114" t="s">
        <v>42</v>
      </c>
      <c r="D114">
        <v>36121</v>
      </c>
      <c r="E114" t="s">
        <v>54</v>
      </c>
      <c r="F114" t="s">
        <v>44</v>
      </c>
      <c r="G114" t="s">
        <v>45</v>
      </c>
      <c r="H114">
        <v>272860</v>
      </c>
    </row>
    <row r="115" spans="1:8" x14ac:dyDescent="0.25">
      <c r="A115" t="s">
        <v>50</v>
      </c>
      <c r="B115">
        <v>1301407</v>
      </c>
      <c r="C115" t="s">
        <v>42</v>
      </c>
      <c r="D115">
        <v>36121</v>
      </c>
      <c r="E115" t="s">
        <v>53</v>
      </c>
      <c r="F115" t="s">
        <v>44</v>
      </c>
      <c r="G115" t="s">
        <v>45</v>
      </c>
      <c r="H115">
        <v>4102767.08</v>
      </c>
    </row>
    <row r="117" spans="1:8" x14ac:dyDescent="0.25">
      <c r="A117" t="s">
        <v>61</v>
      </c>
    </row>
    <row r="118" spans="1:8" x14ac:dyDescent="0.25">
      <c r="A118" t="s">
        <v>33</v>
      </c>
      <c r="B118" t="s">
        <v>34</v>
      </c>
      <c r="C118" t="s">
        <v>35</v>
      </c>
      <c r="D118" t="s">
        <v>36</v>
      </c>
      <c r="E118" t="s">
        <v>37</v>
      </c>
      <c r="F118" t="s">
        <v>38</v>
      </c>
      <c r="G118" t="s">
        <v>39</v>
      </c>
      <c r="H118" t="s">
        <v>40</v>
      </c>
    </row>
    <row r="119" spans="1:8" x14ac:dyDescent="0.25">
      <c r="A119" t="s">
        <v>50</v>
      </c>
      <c r="B119">
        <v>1301407</v>
      </c>
      <c r="C119" t="s">
        <v>42</v>
      </c>
      <c r="D119">
        <v>33173</v>
      </c>
      <c r="E119" t="s">
        <v>43</v>
      </c>
      <c r="F119" t="s">
        <v>44</v>
      </c>
      <c r="G119" t="s">
        <v>45</v>
      </c>
      <c r="H119">
        <v>52200485.770000003</v>
      </c>
    </row>
    <row r="120" spans="1:8" x14ac:dyDescent="0.25">
      <c r="A120" t="s">
        <v>50</v>
      </c>
      <c r="B120">
        <v>1301407</v>
      </c>
      <c r="C120" t="s">
        <v>42</v>
      </c>
      <c r="D120">
        <v>33173</v>
      </c>
      <c r="E120" t="s">
        <v>46</v>
      </c>
      <c r="F120" t="s">
        <v>44</v>
      </c>
      <c r="G120" t="s">
        <v>45</v>
      </c>
      <c r="H120">
        <v>52200485.770000003</v>
      </c>
    </row>
    <row r="121" spans="1:8" x14ac:dyDescent="0.25">
      <c r="A121" t="s">
        <v>50</v>
      </c>
      <c r="B121">
        <v>1301407</v>
      </c>
      <c r="C121" t="s">
        <v>42</v>
      </c>
      <c r="D121">
        <v>33173</v>
      </c>
      <c r="E121" t="s">
        <v>47</v>
      </c>
      <c r="F121" t="s">
        <v>44</v>
      </c>
      <c r="G121" t="s">
        <v>45</v>
      </c>
      <c r="H121">
        <v>50418472.299999997</v>
      </c>
    </row>
    <row r="122" spans="1:8" x14ac:dyDescent="0.25">
      <c r="A122" t="s">
        <v>50</v>
      </c>
      <c r="B122">
        <v>1301407</v>
      </c>
      <c r="C122" t="s">
        <v>42</v>
      </c>
      <c r="D122">
        <v>33173</v>
      </c>
      <c r="E122" t="s">
        <v>53</v>
      </c>
      <c r="F122" t="s">
        <v>44</v>
      </c>
      <c r="G122" t="s">
        <v>45</v>
      </c>
      <c r="H122">
        <v>1782013.47</v>
      </c>
    </row>
    <row r="123" spans="1:8" x14ac:dyDescent="0.25">
      <c r="A123" t="s">
        <v>41</v>
      </c>
      <c r="B123">
        <v>1302405</v>
      </c>
      <c r="C123" t="s">
        <v>42</v>
      </c>
      <c r="D123">
        <v>47003</v>
      </c>
      <c r="E123" t="s">
        <v>43</v>
      </c>
      <c r="F123" t="s">
        <v>44</v>
      </c>
      <c r="G123" t="s">
        <v>45</v>
      </c>
      <c r="H123">
        <v>29222281.07</v>
      </c>
    </row>
    <row r="124" spans="1:8" x14ac:dyDescent="0.25">
      <c r="A124" t="s">
        <v>41</v>
      </c>
      <c r="B124">
        <v>1302405</v>
      </c>
      <c r="C124" t="s">
        <v>42</v>
      </c>
      <c r="D124">
        <v>47003</v>
      </c>
      <c r="E124" t="s">
        <v>46</v>
      </c>
      <c r="F124" t="s">
        <v>44</v>
      </c>
      <c r="G124" t="s">
        <v>45</v>
      </c>
      <c r="H124">
        <v>29222281.07</v>
      </c>
    </row>
    <row r="125" spans="1:8" x14ac:dyDescent="0.25">
      <c r="A125" t="s">
        <v>41</v>
      </c>
      <c r="B125">
        <v>1302405</v>
      </c>
      <c r="C125" t="s">
        <v>42</v>
      </c>
      <c r="D125">
        <v>47003</v>
      </c>
      <c r="E125" t="s">
        <v>47</v>
      </c>
      <c r="F125" t="s">
        <v>44</v>
      </c>
      <c r="G125" t="s">
        <v>45</v>
      </c>
      <c r="H125">
        <v>29222281.07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Dados eurinepé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2015-06-05T18:19:34Z</dcterms:created>
  <dcterms:modified xsi:type="dcterms:W3CDTF">2026-05-09T00:11:01Z</dcterms:modified>
</cp:coreProperties>
</file>